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ile &amp; Financials" sheetId="1" state="visible" r:id="rId1"/>
    <sheet name="Assets Register" sheetId="2" state="visible" r:id="rId2"/>
    <sheet name="Sources" sheetId="3" state="visible" r:id="rId3"/>
  </sheets>
  <definedNames>
    <definedName name="_xlnm._FilterDatabase" localSheetId="1" hidden="1">'Assets Register'!$A$4:$V$25</definedName>
    <definedName name="_xlnm._FilterDatabase" localSheetId="2" hidden="1">'Sources'!$A$4:$J$26</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b val="1"/>
      <color rgb="00FFFFFF"/>
      <sz val="16"/>
    </font>
    <font>
      <name val="Arial"/>
      <i val="1"/>
      <sz val="10"/>
    </font>
    <font>
      <name val="Arial"/>
      <b val="1"/>
      <sz val="11"/>
    </font>
    <font>
      <name val="Arial"/>
      <b val="1"/>
      <sz val="10"/>
    </font>
    <font>
      <name val="Arial"/>
      <sz val="10"/>
    </font>
    <font>
      <name val="Arial"/>
      <b val="1"/>
      <color rgb="00FFFFFF"/>
      <sz val="10"/>
    </font>
    <font>
      <name val="Arial"/>
      <color rgb="000000FF"/>
      <sz val="10"/>
    </font>
    <font>
      <name val="Arial"/>
      <i val="1"/>
      <color rgb="00595959"/>
      <sz val="9"/>
    </font>
    <font>
      <name val="Arial"/>
      <i val="1"/>
      <color rgb="00808080"/>
      <sz val="8"/>
    </font>
    <font>
      <name val="Arial"/>
      <b val="1"/>
      <color rgb="00000000"/>
      <sz val="10"/>
    </font>
    <font>
      <name val="Arial"/>
      <color rgb="00000000"/>
      <sz val="10"/>
    </font>
    <font>
      <name val="Arial"/>
      <color rgb="000563C1"/>
      <sz val="10"/>
      <u val="single"/>
    </font>
  </fonts>
  <fills count="10">
    <fill>
      <patternFill/>
    </fill>
    <fill>
      <patternFill patternType="gray125"/>
    </fill>
    <fill>
      <patternFill patternType="solid">
        <fgColor rgb="0000568F"/>
      </patternFill>
    </fill>
    <fill>
      <patternFill patternType="solid">
        <fgColor rgb="00F2F2F2"/>
      </patternFill>
    </fill>
    <fill>
      <patternFill patternType="solid">
        <fgColor rgb="00C6EFCE"/>
      </patternFill>
    </fill>
    <fill>
      <patternFill patternType="solid">
        <fgColor rgb="00006100"/>
      </patternFill>
    </fill>
    <fill>
      <patternFill patternType="solid">
        <fgColor rgb="00FFC000"/>
      </patternFill>
    </fill>
    <fill>
      <patternFill patternType="solid">
        <fgColor rgb="00D9D9D9"/>
      </patternFill>
    </fill>
    <fill>
      <patternFill patternType="solid">
        <fgColor rgb="00BDD7E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0" applyAlignment="1" pivotButton="0" quotePrefix="0" xfId="0">
      <alignment vertical="center"/>
    </xf>
    <xf numFmtId="0" fontId="2" fillId="3"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5" fillId="0" borderId="1" pivotButton="0" quotePrefix="0" xfId="0"/>
    <xf numFmtId="3" fontId="7" fillId="0" borderId="1" pivotButton="0" quotePrefix="0" xfId="0"/>
    <xf numFmtId="3" fontId="0" fillId="0" borderId="1" pivotButton="0" quotePrefix="0" xfId="0"/>
    <xf numFmtId="164" fontId="0" fillId="0" borderId="1" pivotButton="0" quotePrefix="0" xfId="0"/>
    <xf numFmtId="0" fontId="8" fillId="0" borderId="1" pivotButton="0" quotePrefix="0" xfId="0"/>
    <xf numFmtId="0" fontId="5" fillId="3" borderId="1" pivotButton="0" quotePrefix="0" xfId="0"/>
    <xf numFmtId="3" fontId="7" fillId="3" borderId="1" pivotButton="0" quotePrefix="0" xfId="0"/>
    <xf numFmtId="3" fontId="0" fillId="3" borderId="1" pivotButton="0" quotePrefix="0" xfId="0"/>
    <xf numFmtId="164" fontId="0" fillId="3" borderId="1" pivotButton="0" quotePrefix="0" xfId="0"/>
    <xf numFmtId="0" fontId="8" fillId="3" borderId="1" pivotButton="0" quotePrefix="0" xfId="0"/>
    <xf numFmtId="0" fontId="8" fillId="3" borderId="0" applyAlignment="1" pivotButton="0" quotePrefix="0" xfId="0">
      <alignment vertical="top" wrapText="1"/>
    </xf>
    <xf numFmtId="0" fontId="9" fillId="0" borderId="0" pivotButton="0" quotePrefix="0" xfId="0"/>
    <xf numFmtId="0" fontId="1" fillId="2" borderId="0" pivotButton="0" quotePrefix="0" xfId="0"/>
    <xf numFmtId="0" fontId="5" fillId="0" borderId="1" applyAlignment="1" pivotButton="0" quotePrefix="0" xfId="0">
      <alignment vertical="top"/>
    </xf>
    <xf numFmtId="0" fontId="5" fillId="0" borderId="1" applyAlignment="1" pivotButton="0" quotePrefix="0" xfId="0">
      <alignment vertical="top" wrapText="1"/>
    </xf>
    <xf numFmtId="0" fontId="5" fillId="4" borderId="1" applyAlignment="1" pivotButton="0" quotePrefix="0" xfId="0">
      <alignment vertical="top"/>
    </xf>
    <xf numFmtId="9" fontId="5" fillId="0" borderId="1" applyAlignment="1" pivotButton="0" quotePrefix="0" xfId="0">
      <alignment vertical="top"/>
    </xf>
    <xf numFmtId="0" fontId="6" fillId="5" borderId="1" applyAlignment="1" pivotButton="0" quotePrefix="0" xfId="0">
      <alignment vertical="top"/>
    </xf>
    <xf numFmtId="0" fontId="5" fillId="3" borderId="1" applyAlignment="1" pivotButton="0" quotePrefix="0" xfId="0">
      <alignment vertical="top"/>
    </xf>
    <xf numFmtId="0" fontId="5" fillId="3" borderId="1" applyAlignment="1" pivotButton="0" quotePrefix="0" xfId="0">
      <alignment vertical="top" wrapText="1"/>
    </xf>
    <xf numFmtId="9" fontId="5" fillId="3" borderId="1" applyAlignment="1" pivotButton="0" quotePrefix="0" xfId="0">
      <alignment vertical="top"/>
    </xf>
    <xf numFmtId="0" fontId="10" fillId="6" borderId="1" applyAlignment="1" pivotButton="0" quotePrefix="0" xfId="0">
      <alignment vertical="top"/>
    </xf>
    <xf numFmtId="0" fontId="11" fillId="7" borderId="1" applyAlignment="1" pivotButton="0" quotePrefix="0" xfId="0">
      <alignment vertical="top"/>
    </xf>
    <xf numFmtId="0" fontId="5" fillId="8" borderId="1" applyAlignment="1" pivotButton="0" quotePrefix="0" xfId="0">
      <alignment vertical="top"/>
    </xf>
    <xf numFmtId="3" fontId="5" fillId="0" borderId="1" applyAlignment="1" pivotButton="0" quotePrefix="0" xfId="0">
      <alignment vertical="top"/>
    </xf>
    <xf numFmtId="0" fontId="5" fillId="9" borderId="1" applyAlignment="1" pivotButton="0" quotePrefix="0" xfId="0">
      <alignment vertical="top"/>
    </xf>
    <xf numFmtId="0" fontId="12" fillId="0" borderId="1" applyAlignment="1" pivotButton="0" quotePrefix="0" xfId="0">
      <alignment vertical="top" wrapText="1"/>
    </xf>
    <xf numFmtId="0" fontId="1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romsons.com/" TargetMode="External" Id="rId1" /><Relationship Type="http://schemas.openxmlformats.org/officeDocument/2006/relationships/hyperlink" Target="https://romsons.com/about-us/" TargetMode="External" Id="rId2" /><Relationship Type="http://schemas.openxmlformats.org/officeDocument/2006/relationships/hyperlink" Target="https://romsons.com/Quality/" TargetMode="External" Id="rId3" /><Relationship Type="http://schemas.openxmlformats.org/officeDocument/2006/relationships/hyperlink" Target="https://romsons.com/product-list/" TargetMode="External" Id="rId4" /><Relationship Type="http://schemas.openxmlformats.org/officeDocument/2006/relationships/hyperlink" Target="https://html.romsons.net.in/international/about.html" TargetMode="External" Id="rId5" /><Relationship Type="http://schemas.openxmlformats.org/officeDocument/2006/relationships/hyperlink" Target="https://html.romsons.net.in/international/contact.html" TargetMode="External" Id="rId6" /><Relationship Type="http://schemas.openxmlformats.org/officeDocument/2006/relationships/hyperlink" Target="https://html.romsons.net.in/domestic/about.html" TargetMode="External" Id="rId7" /><Relationship Type="http://schemas.openxmlformats.org/officeDocument/2006/relationships/hyperlink" Target="https://html.romsons.net.in/domestic/contact.html" TargetMode="External" Id="rId8" /><Relationship Type="http://schemas.openxmlformats.org/officeDocument/2006/relationships/hyperlink" Target="https://www.romsons.in/pages/about-us" TargetMode="External" Id="rId9" /><Relationship Type="http://schemas.openxmlformats.org/officeDocument/2006/relationships/hyperlink" Target="https://www.romsons.in/blogs/post/all-about-romsons" TargetMode="External" Id="rId10" /><Relationship Type="http://schemas.openxmlformats.org/officeDocument/2006/relationships/hyperlink" Target="https://www.romsons.in/products/" TargetMode="External" Id="rId11" /><Relationship Type="http://schemas.openxmlformats.org/officeDocument/2006/relationships/hyperlink" Target="https://fq2sxzhe4lzz0ggs.public.blob.vercel-storage.com/catalogue-pdfs/ROMSONS.pdf" TargetMode="External" Id="rId12" /><Relationship Type="http://schemas.openxmlformats.org/officeDocument/2006/relationships/hyperlink" Target="https://www.accessdata.fda.gov/scripts/cdrh/cfdocs/cfRL/rl.cfm?rid=57660" TargetMode="External" Id="rId13" /><Relationship Type="http://schemas.openxmlformats.org/officeDocument/2006/relationships/hyperlink" Target="https://calculator.taxadda.com/gstin-details/ROMSONS_GROUP_PRIVATE_LIMITED-09AAACR5839H1Z4-bihob3cgxnhm6yz" TargetMode="External" Id="rId14" /><Relationship Type="http://schemas.openxmlformats.org/officeDocument/2006/relationships/hyperlink" Target="https://gst.jamku.app/gstin/03AAACR5839H1ZG" TargetMode="External" Id="rId15" /><Relationship Type="http://schemas.openxmlformats.org/officeDocument/2006/relationships/hyperlink" Target="https://nclt.gov.in/gen_pdf.php?filepath=%2FEfile_Document%2Fncltdoc%2Fcasedoc%2F0902109024752023%2F04%2FOrder-Challenge%2F04_order-Challange_004_17137639233158753746625f6537e4b8.pdf" TargetMode="External" Id="rId16" /><Relationship Type="http://schemas.openxmlformats.org/officeDocument/2006/relationships/hyperlink" Target="https://www.tofler.in/romsons-group-private-limited/company/U24236UP1977PTC004511" TargetMode="External" Id="rId17" /><Relationship Type="http://schemas.openxmlformats.org/officeDocument/2006/relationships/hyperlink" Target="https://www.infyner.com/company/romsons-group-private-limited/U24236UP1977PTC004511" TargetMode="External" Id="rId18" /><Relationship Type="http://schemas.openxmlformats.org/officeDocument/2006/relationships/hyperlink" Target="https://www.livemint.com/companies/news/temasek-romsons-medical-devices-investment-india-private-equity-healthcare-medtech-market-11759397626885.html" TargetMode="External" Id="rId19" /><Relationship Type="http://schemas.openxmlformats.org/officeDocument/2006/relationships/hyperlink" Target="https://projectxindia.com/2022/06/05/unit-to-manufacture-instruments-appliances-used-in-surgical-medical-at-agra/" TargetMode="External" Id="rId20" /><Relationship Type="http://schemas.openxmlformats.org/officeDocument/2006/relationships/hyperlink" Target="https://timesofindia.indiatimes.com/city/noida/37-firms-get-med-park-plots-to-invest-550cr/articleshow/93064731.cms" TargetMode="External" Id="rId21" /><Relationship Type="http://schemas.openxmlformats.org/officeDocument/2006/relationships/hyperlink" Target="https://agraleaks.com/agra-news-romsons-invest-rs-100-crore-in-jewar-instead-of-agra-for-new-factory/" TargetMode="External" Id="rId22" /></Relationships>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0" customWidth="1" min="1" max="1"/>
    <col width="40" customWidth="1" min="2" max="2"/>
    <col width="22" customWidth="1" min="3" max="3"/>
    <col width="16" customWidth="1" min="4" max="4"/>
    <col width="14" customWidth="1" min="5" max="5"/>
    <col width="40" customWidth="1" min="6" max="6"/>
  </cols>
  <sheetData>
    <row r="1">
      <c r="A1" s="1" t="inlineStr">
        <is>
          <t>Romsons Group Private Limited — Physical Assets Report</t>
        </is>
      </c>
    </row>
    <row r="2">
      <c r="A2" s="2" t="inlineStr">
        <is>
          <t>Report generated: 2026-10-23 | Currency: INR</t>
        </is>
      </c>
    </row>
    <row r="4">
      <c r="A4" s="3" t="inlineStr">
        <is>
          <t>Section A — Company Profile</t>
        </is>
      </c>
    </row>
    <row r="5">
      <c r="A5" s="4" t="inlineStr">
        <is>
          <t>Company Name</t>
        </is>
      </c>
      <c r="B5" s="5" t="inlineStr">
        <is>
          <t>Romsons Group Private Limited</t>
        </is>
      </c>
    </row>
    <row r="6">
      <c r="A6" s="4" t="inlineStr">
        <is>
          <t>Ticker &amp; Exchange</t>
        </is>
      </c>
      <c r="B6" s="5" t="inlineStr">
        <is>
          <t>N/A — Unlisted private limited company (CIN U24236UP1977PTC004511)</t>
        </is>
      </c>
    </row>
    <row r="7">
      <c r="A7" s="4" t="inlineStr">
        <is>
          <t>Sector / Industry</t>
        </is>
      </c>
      <c r="B7" s="5" t="inlineStr">
        <is>
          <t>Health Care</t>
        </is>
      </c>
    </row>
    <row r="8">
      <c r="A8" s="4" t="inlineStr">
        <is>
          <t>Country of Incorporation</t>
        </is>
      </c>
      <c r="B8" s="5" t="inlineStr">
        <is>
          <t>India</t>
        </is>
      </c>
    </row>
    <row r="9">
      <c r="A9" s="4" t="inlineStr">
        <is>
          <t>Reporting Currency</t>
        </is>
      </c>
      <c r="B9" s="5" t="inlineStr">
        <is>
          <t>INR</t>
        </is>
      </c>
    </row>
    <row r="10">
      <c r="A10" s="4" t="inlineStr">
        <is>
          <t>Accounting Standard</t>
        </is>
      </c>
      <c r="B10" s="5" t="inlineStr">
        <is>
          <t>Ind AS / Companies Act 2013 (Indian GAAP converged; private company MCA filings)</t>
        </is>
      </c>
    </row>
    <row r="11">
      <c r="A11" s="4" t="inlineStr">
        <is>
          <t>Fiscal Year End</t>
        </is>
      </c>
      <c r="B11" s="5" t="inlineStr">
        <is>
          <t>March 31</t>
        </is>
      </c>
    </row>
    <row r="12">
      <c r="A12" s="4" t="inlineStr">
        <is>
          <t>Primary Operating Segments</t>
        </is>
      </c>
      <c r="B12" s="5" t="inlineStr">
        <is>
          <t>Disposable Medical Devices (Anesthesia, Surgery, Urology, Transfusion, Cardiac, Gastroenterology, Ortho Care, Patient Care); Healthcare Consumer Goods (adult diapers, incontinence, baby &amp; mother care — ex-RGI Meditech); Export / International (Romsons International Noida SEZ); Domestic distribution &amp; consumer retail (Romsons Prime)</t>
        </is>
      </c>
    </row>
    <row r="13">
      <c r="A13" s="4" t="inlineStr">
        <is>
          <t>Geographic Footprint</t>
        </is>
      </c>
      <c r="B13" s="5" t="inlineStr">
        <is>
          <t>India manufacturing footprint concentrated in Agra (Nunhai Industrial Estate &amp; Foundry Nagar), Noida / Gautam Buddha Nagar (NSEZ export unit + Sector 63), and Mohali (Punjab Plant-7). Sales/marketing offices in New Delhi; company-owned offices also disclosed in Mumbai, Pune, Jaipur &amp; Agra; warehouses cum offices at state capitals nationwide. Exports to 65–75+ countries including US, Europe, Middle East, Africa, Singapore, Sri Lanka.</t>
        </is>
      </c>
    </row>
    <row r="14">
      <c r="A14" s="4" t="inlineStr">
        <is>
          <t>Major Subsidiaries</t>
        </is>
      </c>
      <c r="B14" s="5" t="inlineStr">
        <is>
          <t>Romsons International (Noida SEZ export manufacturing division / Unit-II); historical group units now under / affiliated with the Group — Romsons Scientific &amp; Surgical Industries Pvt. Ltd. (legacy name; group now Romsons Group Private Limited), Romsons Juniors India (Agra), Romsons Medicons (Agra), Raj Vijay Corporation (Agra), Rennex Medical, R.G.I. Meditech Private Limited (amalgamated into Romsons Group — NCLT Scheme CA(CAA) 32/ALD/2023; appointed date context Apr 2023); Romsons Prime Private Limited (consumer e-commerce / distribution, Delhi — CIN U33112DL2022PTC392804); Romsons Medsource (related warehouse/logistics partnership entity)</t>
        </is>
      </c>
    </row>
    <row r="15">
      <c r="A15" s="4" t="inlineStr">
        <is>
          <t>Regulated vs Unregulated</t>
        </is>
      </c>
      <c r="B15" s="5" t="inlineStr">
        <is>
          <t>Unregulated commercial medical-device manufacturer (subject to CDSCO medical-device licensing, ISO 13485 / CE / USFDA establishment registration for export; not a rate-regulated utility)</t>
        </is>
      </c>
    </row>
    <row r="16">
      <c r="A16" s="4" t="inlineStr">
        <is>
          <t>Total Employees</t>
        </is>
      </c>
      <c r="B16" s="5" t="inlineStr">
        <is>
          <t>~5,541–5,550 (Infyner MCA-derived band) to 6,148 (Tracxn as of 1 Mar 2026)</t>
        </is>
      </c>
    </row>
    <row r="17">
      <c r="A17" s="4" t="inlineStr">
        <is>
          <t>Recent M&amp;A Activity</t>
        </is>
      </c>
      <c r="B17" s="5" t="inlineStr">
        <is>
          <t>Amalgamation of R.G.I. Meditech Private Limited into Romsons Group Private Limited (NCLT Allahabad first-motion order Apr 2024; scheme under ss.230–232). Oct 2025: media reports of PE minority-stake process (~₹1,500 Cr stake / ~$500m company valuation context) with Temasek, Warburg Pincus and TA Associates named as interested parties — first external capital round if completed (Mint 2 Oct 2025). Feb 2026: Agraleaks / Pharma Conclave reporting of ~₹100 Cr investment MoU for new factory at Jewar Medical Device Park (YEIDA Sector 28); earlier YEIDA allotment for anaesthesia needle &amp; kit unit (~₹15 Cr, 4,000 sqm plot). 2022: IEM filed for Agra capacity of 2,930 lakh pcs (conceptual/planning — may be superseded by Jewar expansion).</t>
        </is>
      </c>
    </row>
    <row r="18">
      <c r="A18" s="4" t="inlineStr">
        <is>
          <t>Report Generated</t>
        </is>
      </c>
      <c r="B18" s="5" t="inlineStr">
        <is>
          <t>2026-10-23</t>
        </is>
      </c>
    </row>
    <row r="19">
      <c r="A19" s="4" t="inlineStr">
        <is>
          <t>Primary Data Sources</t>
        </is>
      </c>
      <c r="B19" s="5" t="inlineStr">
        <is>
          <t>romsons.com; html.romsons.net.in domestic &amp; international About/Contact; romsons.in About &amp; product manufacturer labels (Plant-2/4/5/7); MCA/Tofler/Infyner/Tracxn company profile FY2025; Mint Temasek article (FY24 income); GSTIN 09AAACR5839H1Z4 additional places of business; FDA Establishment Registration 9613418 (Noida SEZ); NCLT amalgamation order; YEIDA Medical Device Park / Agraleaks Jewar coverage; ProjectX IEM note</t>
        </is>
      </c>
    </row>
    <row r="21">
      <c r="A21" s="3" t="inlineStr">
        <is>
          <t>Section B — Financial Summary</t>
        </is>
      </c>
    </row>
    <row r="22">
      <c r="A22" s="6" t="inlineStr">
        <is>
          <t>Metric</t>
        </is>
      </c>
      <c r="B22" s="6" t="inlineStr">
        <is>
          <t>FY2025 (INR $mm)</t>
        </is>
      </c>
      <c r="C22" s="6" t="inlineStr">
        <is>
          <t>FY2024 (INR $mm)</t>
        </is>
      </c>
      <c r="D22" s="6" t="inlineStr">
        <is>
          <t>Change</t>
        </is>
      </c>
      <c r="E22" s="6" t="inlineStr">
        <is>
          <t>Change %</t>
        </is>
      </c>
      <c r="F22" s="6" t="inlineStr">
        <is>
          <t>Source</t>
        </is>
      </c>
    </row>
    <row r="23">
      <c r="A23" s="7" t="inlineStr">
        <is>
          <t>Total Assets</t>
        </is>
      </c>
      <c r="B23" s="8" t="n"/>
      <c r="C23" s="8" t="n"/>
      <c r="D23" s="9">
        <f>B23-C23</f>
        <v/>
      </c>
      <c r="E23" s="10">
        <f>IF(C23=0,"N/A",(B23-C23)/C23)</f>
        <v/>
      </c>
      <c r="F23" s="11" t="inlineStr">
        <is>
          <t>N/A — Exact MCA AOC-4 total assets not freely published. Tofler/Infyner disclose FY2025 (YE 31 Mar 2025) total assets in ₹1,000+ Cr band with +27.36% YoY; AGM held 24 Oct 2025. Full balance sheet behind commercial MCA aggregators.</t>
        </is>
      </c>
    </row>
    <row r="24">
      <c r="A24" s="12" t="inlineStr">
        <is>
          <t>Net Worth / Book Equity</t>
        </is>
      </c>
      <c r="B24" s="13" t="n"/>
      <c r="C24" s="13" t="n"/>
      <c r="D24" s="14">
        <f>B24-C24</f>
        <v/>
      </c>
      <c r="E24" s="15">
        <f>IF(C24=0,"N/A",(B24-C24)/C24)</f>
        <v/>
      </c>
      <c r="F24" s="16" t="inlineStr">
        <is>
          <t>N/A — Exact figure paywalled. Aggregators: FY2025 net worth in ₹500–1,000 Cr band (+33.23% YoY per Tofler).</t>
        </is>
      </c>
    </row>
    <row r="25">
      <c r="A25" s="7" t="inlineStr">
        <is>
          <t>PP&amp;E — Gross</t>
        </is>
      </c>
      <c r="B25" s="8" t="n"/>
      <c r="C25" s="8" t="n"/>
      <c r="D25" s="9">
        <f>B25-C25</f>
        <v/>
      </c>
      <c r="E25" s="10">
        <f>IF(C25=0,"N/A",(B25-C25)/C25)</f>
        <v/>
      </c>
      <c r="F25" s="11" t="inlineStr">
        <is>
          <t>N/A — Property, Plant &amp; Equipment gross block not disclosed in free public sources; MCA financial statements behind paywall.</t>
        </is>
      </c>
    </row>
    <row r="26">
      <c r="A26" s="12" t="inlineStr">
        <is>
          <t>PP&amp;E — Accumulated Depreciation</t>
        </is>
      </c>
      <c r="B26" s="13" t="n"/>
      <c r="C26" s="13" t="n"/>
      <c r="D26" s="14">
        <f>B26-C26</f>
        <v/>
      </c>
      <c r="E26" s="15">
        <f>IF(C26=0,"N/A",(B26-C26)/C26)</f>
        <v/>
      </c>
      <c r="F26" s="16" t="inlineStr">
        <is>
          <t>N/A — Not available from free public disclosures.</t>
        </is>
      </c>
    </row>
    <row r="27">
      <c r="A27" s="7" t="inlineStr">
        <is>
          <t>PP&amp;E — Net Book Value</t>
        </is>
      </c>
      <c r="B27" s="8" t="n"/>
      <c r="C27" s="8" t="n"/>
      <c r="D27" s="9">
        <f>B27-C27</f>
        <v/>
      </c>
      <c r="E27" s="10">
        <f>IF(C27=0,"N/A",(B27-C27)/C27)</f>
        <v/>
      </c>
      <c r="F27" s="11" t="inlineStr">
        <is>
          <t>N/A — Tangible fixed assets / PP&amp;E net book value not available without paid MCA AOC-4 access. Open charges / asset pledges noted by Entiva (~₹40.59 Cr lender claim context) but not a PP&amp;E proxy.</t>
        </is>
      </c>
    </row>
    <row r="28">
      <c r="A28" s="12" t="inlineStr">
        <is>
          <t>PP&amp;E as % of Total Assets</t>
        </is>
      </c>
      <c r="B28" s="13" t="n"/>
      <c r="C28" s="13" t="n"/>
      <c r="D28" s="14">
        <f>B28-C28</f>
        <v/>
      </c>
      <c r="E28" s="15">
        <f>IF(C28=0,"N/A",(B28-C28)/C28)</f>
        <v/>
      </c>
      <c r="F28" s="16" t="inlineStr">
        <is>
          <t>N/A — Cannot compute without disclosed PP&amp;E and exact total assets.</t>
        </is>
      </c>
    </row>
    <row r="29">
      <c r="A29" s="7" t="inlineStr">
        <is>
          <t>Capital Expenditures — Total</t>
        </is>
      </c>
      <c r="B29" s="8" t="n"/>
      <c r="C29" s="8" t="n"/>
      <c r="D29" s="9">
        <f>B29-C29</f>
        <v/>
      </c>
      <c r="E29" s="10">
        <f>IF(C29=0,"N/A",(B29-C29)/C29)</f>
        <v/>
      </c>
      <c r="F29" s="11" t="inlineStr">
        <is>
          <t>N/A — Capex / cash-flow investing line not disclosed in free sources. Forward indicators: Jewar MDP MoU ~₹100 Cr (Feb 2026 media); YEIDA plot allotment anaesthesia unit ~₹15 Cr (earlier reporting).</t>
        </is>
      </c>
    </row>
    <row r="30">
      <c r="A30" s="12" t="inlineStr">
        <is>
          <t>Depreciation &amp; Amortisation</t>
        </is>
      </c>
      <c r="B30" s="13" t="n"/>
      <c r="C30" s="13" t="n"/>
      <c r="D30" s="14">
        <f>B30-C30</f>
        <v/>
      </c>
      <c r="E30" s="15">
        <f>IF(C30=0,"N/A",(B30-C30)/C30)</f>
        <v/>
      </c>
      <c r="F30" s="16" t="inlineStr">
        <is>
          <t>N/A — D&amp;A not disclosed in free public filings summaries.</t>
        </is>
      </c>
    </row>
    <row r="31">
      <c r="A31" s="7" t="inlineStr">
        <is>
          <t>Revenue / Total Income</t>
        </is>
      </c>
      <c r="B31" s="8" t="n"/>
      <c r="C31" s="8" t="n">
        <v>8750.9</v>
      </c>
      <c r="D31" s="9">
        <f>B31-C31</f>
        <v/>
      </c>
      <c r="E31" s="10">
        <f>IF(C31=0,"N/A",(B31-C31)/C31)</f>
        <v/>
      </c>
      <c r="F31" s="11" t="inlineStr">
        <is>
          <t>FY2024 total income ₹875.09 Cr (₹8,750.9 mm) vs FY2023 ₹834.94 Cr — Mint 2 Oct 2025 citing Tofler MCA filings. FY2025: Tofler operating-revenue band ₹1,250–1,500 Cr; total revenue +45.27% YoY — exact AOC-4 sales figure paywalled. Company website / blogs also cite ~INR 14 billion turnover in marketing copy (group-level; vintage unclear).</t>
        </is>
      </c>
    </row>
    <row r="32">
      <c r="A32" s="12" t="inlineStr">
        <is>
          <t>Net Profit</t>
        </is>
      </c>
      <c r="B32" s="13" t="n"/>
      <c r="C32" s="13" t="n">
        <v>1400</v>
      </c>
      <c r="D32" s="14">
        <f>B32-C32</f>
        <v/>
      </c>
      <c r="E32" s="15">
        <f>IF(C32=0,"N/A",(B32-C32)/C32)</f>
        <v/>
      </c>
      <c r="F32" s="16" t="inlineStr">
        <is>
          <t>FY2024 net profit ₹140 Cr (₹1,400 mm) vs FY2023 ₹115 Cr — Mint citing Tofler. FY2025: aggregator band ₹100–500 Cr with +22.99% YoY (Tofler) / +23.0% (Infyner) — exact figure paywalled.</t>
        </is>
      </c>
    </row>
    <row r="33">
      <c r="A33" s="7" t="inlineStr">
        <is>
          <t>EBITDA</t>
        </is>
      </c>
      <c r="B33" s="8" t="n"/>
      <c r="C33" s="8" t="n"/>
      <c r="D33" s="9">
        <f>B33-C33</f>
        <v/>
      </c>
      <c r="E33" s="10">
        <f>IF(C33=0,"N/A",(B33-C33)/C33)</f>
        <v/>
      </c>
      <c r="F33" s="11" t="inlineStr">
        <is>
          <t>N/A — Exact EBITDA paywalled. Tofler: FY2025 EBITDA in ₹100–500 Cr band (+19.42% YoY).</t>
        </is>
      </c>
    </row>
    <row r="34">
      <c r="A34" s="12" t="inlineStr">
        <is>
          <t>Paid-up Share Capital</t>
        </is>
      </c>
      <c r="B34" s="13" t="n">
        <v>277.6</v>
      </c>
      <c r="C34" s="13" t="n"/>
      <c r="D34" s="14">
        <f>B34-C34</f>
        <v/>
      </c>
      <c r="E34" s="15">
        <f>IF(C34=0,"N/A",(B34-C34)/C34)</f>
        <v/>
      </c>
      <c r="F34" s="16" t="inlineStr">
        <is>
          <t>MCA/InstaFinancials — paid-up capital ~₹27.76 Cr (₹277.6 mm); authorised capital ₹31.00 Cr. Infyner also cites paid-up ₹25.83 Cr in one snapshot — use latest InstaFinancials ₹27.76 Cr figure; prior-year paid-up N/A.</t>
        </is>
      </c>
    </row>
    <row r="36">
      <c r="A36" s="3" t="inlineStr">
        <is>
          <t>Section C — PP&amp;E Estimation Note</t>
        </is>
      </c>
    </row>
    <row r="37">
      <c r="A37" s="17" t="inlineStr">
        <is>
          <t>Romsons Group Private Limited is an unlisted Indian private company. Latest balance sheet filed with ROC for YE 31 Mar 2025 (AGM 24 Oct 2025), but full Ind-AS notes including PP&amp;E gross/net, CWIP, and capex are behind commercial MCA aggregators (Tofler Pro etc.) and were not obtainable as free PDFs. Free disclosures provide only banded total assets (₹1,000+ Cr, +27.36% YoY), net worth (₹500–1,000 Cr, +33.23%), revenue (FY25 ₹1,250–1,500 Cr band; FY24 total income ₹875.09 Cr exact via Mint/Tofler), and profitability bands. No facility-level book values or rate base apply. Physical asset register therefore relies primarily on Track B company websites (romsons.com, html.romsons.net.in, romsons.in product manufacturer addresses), GST additional places of business (GSTIN 09AAACR5839H1Z4 — 11 APOBs), USFDA establishment registration for Noida SEZ Unit-II, NCLT amalgamation materials for RGI Meditech, and YEIDA/press coverage of Jewar Medical Device Park expansion. In-house EO sterilization (ISO 11135) and DSIR-recognised R&amp;D (2018) are disclosed as capabilities co-located with Agra manufacturing rather than as separately addressed sites. Website pages crawled: homepage, About, Quality, product-list footer addresses, domestic &amp; international About/Contact, romsons.in About/blog/product pages; interactive warehouse city list on romsons.in About renders empty in static fetch. Assets sourced exclusively from website/product labels vs GST/regulatory filings are cross-noted in each Source field.</t>
        </is>
      </c>
    </row>
    <row r="38"/>
    <row r="39"/>
    <row r="41">
      <c r="A41" s="18" t="inlineStr">
        <is>
          <t>Compiled from public disclosures. For reference purposes only. | Romsons Group Private Limited Physical Assets Report | Generated 2026-10-23</t>
        </is>
      </c>
    </row>
  </sheetData>
  <mergeCells count="7">
    <mergeCell ref="A4:B4"/>
    <mergeCell ref="A2:F2"/>
    <mergeCell ref="A21:E21"/>
    <mergeCell ref="A41:F41"/>
    <mergeCell ref="A37:F39"/>
    <mergeCell ref="A36:F36"/>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7"/>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18" customWidth="1" min="3" max="3"/>
    <col width="18" customWidth="1" min="4" max="4"/>
    <col width="25" customWidth="1" min="5" max="5"/>
    <col width="16" customWidth="1" min="6" max="6"/>
    <col width="20" customWidth="1" min="7" max="7"/>
    <col width="14" customWidth="1" min="8" max="8"/>
    <col width="14" customWidth="1" min="9" max="9"/>
    <col width="12" customWidth="1" min="10" max="10"/>
    <col width="16" customWidth="1" min="11" max="11"/>
    <col width="14" customWidth="1" min="12" max="12"/>
    <col width="18" customWidth="1" min="13" max="13"/>
    <col width="12" customWidth="1" min="14" max="14"/>
    <col width="20" customWidth="1" min="15" max="15"/>
    <col width="18" customWidth="1" min="16" max="16"/>
    <col width="12" customWidth="1" min="17" max="17"/>
    <col width="14" customWidth="1" min="18" max="18"/>
    <col width="28" customWidth="1" min="19" max="19"/>
    <col width="45" customWidth="1" min="20" max="20"/>
    <col width="45" customWidth="1" min="21" max="21"/>
    <col width="18" customWidth="1" min="22" max="22"/>
  </cols>
  <sheetData>
    <row r="1">
      <c r="A1" s="19" t="inlineStr">
        <is>
          <t>Romsons Group Private Limited — Physical Assets Register</t>
        </is>
      </c>
    </row>
    <row r="2">
      <c r="A2" s="2" t="inlineStr">
        <is>
          <t>All disclosed physical assets from official filings and company website | 2026-10-23</t>
        </is>
      </c>
    </row>
    <row r="4">
      <c r="A4" s="6" t="inlineStr">
        <is>
          <t>#</t>
        </is>
      </c>
      <c r="B4" s="6" t="inlineStr">
        <is>
          <t>Asset / Facility Name</t>
        </is>
      </c>
      <c r="C4" s="6" t="inlineStr">
        <is>
          <t>Segment</t>
        </is>
      </c>
      <c r="D4" s="6" t="inlineStr">
        <is>
          <t>Asset Category</t>
        </is>
      </c>
      <c r="E4" s="6" t="inlineStr">
        <is>
          <t>Asset Type / Technology</t>
        </is>
      </c>
      <c r="F4" s="6" t="inlineStr">
        <is>
          <t>City</t>
        </is>
      </c>
      <c r="G4" s="6" t="inlineStr">
        <is>
          <t>Region / State / Province</t>
        </is>
      </c>
      <c r="H4" s="6" t="inlineStr">
        <is>
          <t>Country</t>
        </is>
      </c>
      <c r="I4" s="6" t="inlineStr">
        <is>
          <t>Capacity (Value)</t>
        </is>
      </c>
      <c r="J4" s="6" t="inlineStr">
        <is>
          <t>Capacity (Unit)</t>
        </is>
      </c>
      <c r="K4" s="6" t="inlineStr">
        <is>
          <t>Status</t>
        </is>
      </c>
      <c r="L4" s="6" t="inlineStr">
        <is>
          <t>Year Commissioned</t>
        </is>
      </c>
      <c r="M4" s="6" t="inlineStr">
        <is>
          <t>Expected In-Service Date</t>
        </is>
      </c>
      <c r="N4" s="6" t="inlineStr">
        <is>
          <t>Ownership %</t>
        </is>
      </c>
      <c r="O4" s="6" t="inlineStr">
        <is>
          <t>JV Partner(s)</t>
        </is>
      </c>
      <c r="P4" s="6" t="inlineStr">
        <is>
          <t>Est. Project Cost</t>
        </is>
      </c>
      <c r="Q4" s="6" t="inlineStr">
        <is>
          <t>Cost Currency</t>
        </is>
      </c>
      <c r="R4" s="6" t="inlineStr">
        <is>
          <t>FID Status</t>
        </is>
      </c>
      <c r="S4" s="6" t="inlineStr">
        <is>
          <t>Subsidiary / Holding Entity</t>
        </is>
      </c>
      <c r="T4" s="6" t="inlineStr">
        <is>
          <t>Notes</t>
        </is>
      </c>
      <c r="U4" s="6" t="inlineStr">
        <is>
          <t>Source</t>
        </is>
      </c>
      <c r="V4" s="6" t="inlineStr">
        <is>
          <t>Criticality ⭐</t>
        </is>
      </c>
    </row>
    <row r="5">
      <c r="A5" s="20" t="n">
        <v>1</v>
      </c>
      <c r="B5" s="21" t="inlineStr">
        <is>
          <t>Romsons Nunhai Industrial Estate — Registered Office &amp; Primary Works (Unit 1 / HQ Campus)</t>
        </is>
      </c>
      <c r="C5" s="20" t="inlineStr">
        <is>
          <t>Disposable Medical Devices — Domestic Manufacturing</t>
        </is>
      </c>
      <c r="D5" s="20" t="inlineStr">
        <is>
          <t>Plant</t>
        </is>
      </c>
      <c r="E5" s="20" t="inlineStr">
        <is>
          <t>Integrated disposable medical-device campus — clean-room moulding, extrusion, assembly &amp; packing; ISO 13485 / ISO 9001; CE-marked products; in-house tool room &amp; R&amp;D co-located</t>
        </is>
      </c>
      <c r="F5" s="20" t="inlineStr">
        <is>
          <t>Agra</t>
        </is>
      </c>
      <c r="G5" s="20" t="inlineStr">
        <is>
          <t>Uttar Pradesh</t>
        </is>
      </c>
      <c r="H5" s="20" t="inlineStr">
        <is>
          <t>India</t>
        </is>
      </c>
      <c r="I5" s="20" t="inlineStr">
        <is>
          <t>N/A</t>
        </is>
      </c>
      <c r="J5" s="20" t="inlineStr">
        <is>
          <t>N/A</t>
        </is>
      </c>
      <c r="K5" s="22" t="inlineStr">
        <is>
          <t>Active</t>
        </is>
      </c>
      <c r="L5" s="20" t="n">
        <v>1962</v>
      </c>
      <c r="M5" s="20" t="inlineStr">
        <is>
          <t>N/A</t>
        </is>
      </c>
      <c r="N5" s="23" t="n">
        <v>1</v>
      </c>
      <c r="O5" s="20" t="inlineStr">
        <is>
          <t>N/A</t>
        </is>
      </c>
      <c r="P5" s="20" t="inlineStr">
        <is>
          <t>N/A</t>
        </is>
      </c>
      <c r="Q5" s="20" t="inlineStr">
        <is>
          <t>N/A</t>
        </is>
      </c>
      <c r="R5" s="20" t="inlineStr">
        <is>
          <t>N/A</t>
        </is>
      </c>
      <c r="S5" s="21" t="inlineStr">
        <is>
          <t>Romsons Group Private Limited (registered office; legacy Romsons Scientific &amp; Surgical Industries Pvt. Ltd.)</t>
        </is>
      </c>
      <c r="T5" s="21" t="inlineStr">
        <is>
          <t>Registered / principal GST address: 62, 63, 64, 65, 155, 156 &amp; 58, Nunhai Industrial Estate, Agra 282006. Company shifted base to Agra in 1962; disposable manufacturing from 1967 (first product: non-sterile Nelaton catheter). Product labels cite 63-64 Nunhai for multiple devices (e.g. IV cannula, feeding tubes). Maps/listings refer to Romsons Group Unit 1 at 63 Taj Expressway Link Rd / Nunhai. Flagship domestic production &amp; HQ — Tier 1 Core. Capacity not separately disclosed for this campus.</t>
        </is>
      </c>
      <c r="U5" s="21" t="inlineStr">
        <is>
          <t>https://romsons.com/ | https://html.romsons.net.in/domestic/about.html | https://html.romsons.net.in/domestic/contact.html | GSTIN 09AAACR5839H1Z4 principal address | romsons.in product manufacturer addresses | MCA CIN U24236UP1977PTC004511</t>
        </is>
      </c>
      <c r="V5" s="24" t="inlineStr">
        <is>
          <t>Tier 1 — Core</t>
        </is>
      </c>
    </row>
    <row r="6">
      <c r="A6" s="25" t="n">
        <v>2</v>
      </c>
      <c r="B6" s="26" t="inlineStr">
        <is>
          <t>Romsons Plant-2 — C-1 &amp; C-2 Foundry Nagar</t>
        </is>
      </c>
      <c r="C6" s="25" t="inlineStr">
        <is>
          <t>Disposable Medical Devices — Domestic Manufacturing</t>
        </is>
      </c>
      <c r="D6" s="25" t="inlineStr">
        <is>
          <t>Plant</t>
        </is>
      </c>
      <c r="E6" s="25" t="inlineStr">
        <is>
          <t>Medical disposables manufacturing (infusion sets, hypodermic syringes / Romo Jet, related sterile devices); clean-room assembly</t>
        </is>
      </c>
      <c r="F6" s="25" t="inlineStr">
        <is>
          <t>Agra</t>
        </is>
      </c>
      <c r="G6" s="25" t="inlineStr">
        <is>
          <t>Uttar Pradesh</t>
        </is>
      </c>
      <c r="H6" s="25" t="inlineStr">
        <is>
          <t>India</t>
        </is>
      </c>
      <c r="I6" s="25" t="inlineStr">
        <is>
          <t>N/A</t>
        </is>
      </c>
      <c r="J6" s="25" t="inlineStr">
        <is>
          <t>N/A</t>
        </is>
      </c>
      <c r="K6" s="22" t="inlineStr">
        <is>
          <t>Active</t>
        </is>
      </c>
      <c r="L6" s="25" t="inlineStr">
        <is>
          <t>N/A</t>
        </is>
      </c>
      <c r="M6" s="25" t="inlineStr">
        <is>
          <t>N/A</t>
        </is>
      </c>
      <c r="N6" s="27" t="n">
        <v>1</v>
      </c>
      <c r="O6" s="25" t="inlineStr">
        <is>
          <t>N/A</t>
        </is>
      </c>
      <c r="P6" s="25" t="inlineStr">
        <is>
          <t>N/A</t>
        </is>
      </c>
      <c r="Q6" s="25" t="inlineStr">
        <is>
          <t>N/A</t>
        </is>
      </c>
      <c r="R6" s="25" t="inlineStr">
        <is>
          <t>N/A</t>
        </is>
      </c>
      <c r="S6" s="26" t="inlineStr">
        <is>
          <t>Romsons Group Private Limited</t>
        </is>
      </c>
      <c r="T6" s="26" t="inlineStr">
        <is>
          <t>Address on product MD labels: Plant-2, C-1 &amp; C-2, Foundry Nagar, Agra-282006. GST APOB: C-1, C-2, Foundry, Agra. Mfg licence example MFG/MD/2021/000151. Named production plant for core infusion/transfusion portfolio — Tier 1.</t>
        </is>
      </c>
      <c r="U6" s="26" t="inlineStr">
        <is>
          <t>https://www.romsons.in/products/rms-vented-infusion-set-ss-3060 | https://www.romsons.in/products/romo-jet-syringe-with-needle-20-ml | GSTIN 09AAACR5839H1Z4 APOB</t>
        </is>
      </c>
      <c r="V6" s="24" t="inlineStr">
        <is>
          <t>Tier 1 — Core</t>
        </is>
      </c>
    </row>
    <row r="7">
      <c r="A7" s="20" t="n">
        <v>3</v>
      </c>
      <c r="B7" s="21" t="inlineStr">
        <is>
          <t>Romsons Plant-4 — E-18, E-19 &amp; E-20 Foundry Nagar</t>
        </is>
      </c>
      <c r="C7" s="20" t="inlineStr">
        <is>
          <t>Disposable Medical Devices — Domestic Manufacturing</t>
        </is>
      </c>
      <c r="D7" s="20" t="inlineStr">
        <is>
          <t>Plant</t>
        </is>
      </c>
      <c r="E7" s="20" t="inlineStr">
        <is>
          <t>Anesthesia &amp; respiratory disposables manufacturing (e.g. Bain / Mapleson circuits, related anesthesia sets)</t>
        </is>
      </c>
      <c r="F7" s="20" t="inlineStr">
        <is>
          <t>Agra</t>
        </is>
      </c>
      <c r="G7" s="20" t="inlineStr">
        <is>
          <t>Uttar Pradesh</t>
        </is>
      </c>
      <c r="H7" s="20" t="inlineStr">
        <is>
          <t>India</t>
        </is>
      </c>
      <c r="I7" s="20" t="inlineStr">
        <is>
          <t>N/A</t>
        </is>
      </c>
      <c r="J7" s="20" t="inlineStr">
        <is>
          <t>N/A</t>
        </is>
      </c>
      <c r="K7" s="22" t="inlineStr">
        <is>
          <t>Active</t>
        </is>
      </c>
      <c r="L7" s="20" t="inlineStr">
        <is>
          <t>N/A</t>
        </is>
      </c>
      <c r="M7" s="20" t="inlineStr">
        <is>
          <t>N/A</t>
        </is>
      </c>
      <c r="N7" s="23" t="n">
        <v>1</v>
      </c>
      <c r="O7" s="20" t="inlineStr">
        <is>
          <t>N/A</t>
        </is>
      </c>
      <c r="P7" s="20" t="inlineStr">
        <is>
          <t>N/A</t>
        </is>
      </c>
      <c r="Q7" s="20" t="inlineStr">
        <is>
          <t>N/A</t>
        </is>
      </c>
      <c r="R7" s="20" t="inlineStr">
        <is>
          <t>N/A</t>
        </is>
      </c>
      <c r="S7" s="21" t="inlineStr">
        <is>
          <t>Romsons Group Private Limited</t>
        </is>
      </c>
      <c r="T7" s="21" t="inlineStr">
        <is>
          <t>Product labels: Plant-4, E-18, 19, 20, Foundry Nagar, Agra-282006. GST APOB: E-18, E-19, E-20, Foundry Nagar, Hathras Road, Agra. Mfg licence example MFG/MD/2022/000283. Core anesthesia segment plant — Tier 1.</t>
        </is>
      </c>
      <c r="U7" s="21" t="inlineStr">
        <is>
          <t>https://www.romsons.in/products/romo-vente-bain-circuit-adult | GSTIN 09AAACR5839H1Z4 APOB | third-party catalogue manufacturer address</t>
        </is>
      </c>
      <c r="V7" s="24" t="inlineStr">
        <is>
          <t>Tier 1 — Core</t>
        </is>
      </c>
    </row>
    <row r="8">
      <c r="A8" s="25" t="n">
        <v>4</v>
      </c>
      <c r="B8" s="26" t="inlineStr">
        <is>
          <t>Romsons Plant-5 — E-6 Foundry Nagar</t>
        </is>
      </c>
      <c r="C8" s="25" t="inlineStr">
        <is>
          <t>Disposable Medical Devices — Domestic Manufacturing</t>
        </is>
      </c>
      <c r="D8" s="25" t="inlineStr">
        <is>
          <t>Plant</t>
        </is>
      </c>
      <c r="E8" s="25" t="inlineStr">
        <is>
          <t>Urology / patient-care disposables manufacturing (urine collection bags / Urobag Romo 10 and related)</t>
        </is>
      </c>
      <c r="F8" s="25" t="inlineStr">
        <is>
          <t>Agra</t>
        </is>
      </c>
      <c r="G8" s="25" t="inlineStr">
        <is>
          <t>Uttar Pradesh</t>
        </is>
      </c>
      <c r="H8" s="25" t="inlineStr">
        <is>
          <t>India</t>
        </is>
      </c>
      <c r="I8" s="25" t="inlineStr">
        <is>
          <t>N/A</t>
        </is>
      </c>
      <c r="J8" s="25" t="inlineStr">
        <is>
          <t>N/A</t>
        </is>
      </c>
      <c r="K8" s="22" t="inlineStr">
        <is>
          <t>Active</t>
        </is>
      </c>
      <c r="L8" s="25" t="inlineStr">
        <is>
          <t>N/A</t>
        </is>
      </c>
      <c r="M8" s="25" t="inlineStr">
        <is>
          <t>N/A</t>
        </is>
      </c>
      <c r="N8" s="27" t="n">
        <v>1</v>
      </c>
      <c r="O8" s="25" t="inlineStr">
        <is>
          <t>N/A</t>
        </is>
      </c>
      <c r="P8" s="25" t="inlineStr">
        <is>
          <t>N/A</t>
        </is>
      </c>
      <c r="Q8" s="25" t="inlineStr">
        <is>
          <t>N/A</t>
        </is>
      </c>
      <c r="R8" s="25" t="inlineStr">
        <is>
          <t>N/A</t>
        </is>
      </c>
      <c r="S8" s="26" t="inlineStr">
        <is>
          <t>Romsons Group Private Limited</t>
        </is>
      </c>
      <c r="T8" s="26" t="inlineStr">
        <is>
          <t>Product labels: Plant-5, E-6, Foundry Nagar, Agra, Uttar Pradesh 282006. GST APOB: E-6, Foundry Nagar, Hathras Road, Agra. Mfg licence example MFG/MD/2023/000087. Core urology plant — Tier 1.</t>
        </is>
      </c>
      <c r="U8" s="26" t="inlineStr">
        <is>
          <t>https://www.romsons.in/products/romsons-romo-10-urine-collection-bag | GSTIN 09AAACR5839H1Z4 APOB</t>
        </is>
      </c>
      <c r="V8" s="24" t="inlineStr">
        <is>
          <t>Tier 1 — Core</t>
        </is>
      </c>
    </row>
    <row r="9">
      <c r="A9" s="20" t="n">
        <v>5</v>
      </c>
      <c r="B9" s="21" t="inlineStr">
        <is>
          <t>Romsons Agra Industrial Estate Unit — Plot 153</t>
        </is>
      </c>
      <c r="C9" s="20" t="inlineStr">
        <is>
          <t>Disposable Medical Devices — Domestic Manufacturing</t>
        </is>
      </c>
      <c r="D9" s="20" t="inlineStr">
        <is>
          <t>Plant</t>
        </is>
      </c>
      <c r="E9" s="20" t="inlineStr">
        <is>
          <t>Factory / manufacturing (GST-declared; product-line split not disclosed)</t>
        </is>
      </c>
      <c r="F9" s="20" t="inlineStr">
        <is>
          <t>Agra</t>
        </is>
      </c>
      <c r="G9" s="20" t="inlineStr">
        <is>
          <t>Uttar Pradesh</t>
        </is>
      </c>
      <c r="H9" s="20" t="inlineStr">
        <is>
          <t>India</t>
        </is>
      </c>
      <c r="I9" s="20" t="inlineStr">
        <is>
          <t>N/A</t>
        </is>
      </c>
      <c r="J9" s="20" t="inlineStr">
        <is>
          <t>N/A</t>
        </is>
      </c>
      <c r="K9" s="22" t="inlineStr">
        <is>
          <t>Active</t>
        </is>
      </c>
      <c r="L9" s="20" t="inlineStr">
        <is>
          <t>N/A</t>
        </is>
      </c>
      <c r="M9" s="20" t="inlineStr">
        <is>
          <t>N/A</t>
        </is>
      </c>
      <c r="N9" s="23" t="n">
        <v>1</v>
      </c>
      <c r="O9" s="20" t="inlineStr">
        <is>
          <t>N/A</t>
        </is>
      </c>
      <c r="P9" s="20" t="inlineStr">
        <is>
          <t>N/A</t>
        </is>
      </c>
      <c r="Q9" s="20" t="inlineStr">
        <is>
          <t>N/A</t>
        </is>
      </c>
      <c r="R9" s="20" t="inlineStr">
        <is>
          <t>N/A</t>
        </is>
      </c>
      <c r="S9" s="21" t="inlineStr">
        <is>
          <t>Romsons Group Private Limited</t>
        </is>
      </c>
      <c r="T9" s="21" t="inlineStr">
        <is>
          <t>GST additional place of business: 153, Industrial Estate, Agra 282006 — Factory/Manufacturing. Not separately numbered as Plant-X on consumer product labels. Supporting/adjacent Nunhai campus capacity — Tier 2.</t>
        </is>
      </c>
      <c r="U9" s="21" t="inlineStr">
        <is>
          <t>GSTIN 09AAACR5839H1Z4 APOB list (TaxAdda GSTIN details, accessed 2026-10-23)</t>
        </is>
      </c>
      <c r="V9" s="28" t="inlineStr">
        <is>
          <t>Tier 2 — Important</t>
        </is>
      </c>
    </row>
    <row r="10">
      <c r="A10" s="25" t="n">
        <v>6</v>
      </c>
      <c r="B10" s="26" t="inlineStr">
        <is>
          <t>Romsons Agra Industrial Estate Unit — Plot 174-A</t>
        </is>
      </c>
      <c r="C10" s="25" t="inlineStr">
        <is>
          <t>Disposable Medical Devices — Domestic Manufacturing</t>
        </is>
      </c>
      <c r="D10" s="25" t="inlineStr">
        <is>
          <t>Plant</t>
        </is>
      </c>
      <c r="E10" s="25" t="inlineStr">
        <is>
          <t>Factory / manufacturing with warehouse &amp; export functions (GST-declared)</t>
        </is>
      </c>
      <c r="F10" s="25" t="inlineStr">
        <is>
          <t>Agra</t>
        </is>
      </c>
      <c r="G10" s="25" t="inlineStr">
        <is>
          <t>Uttar Pradesh</t>
        </is>
      </c>
      <c r="H10" s="25" t="inlineStr">
        <is>
          <t>India</t>
        </is>
      </c>
      <c r="I10" s="25" t="inlineStr">
        <is>
          <t>N/A</t>
        </is>
      </c>
      <c r="J10" s="25" t="inlineStr">
        <is>
          <t>N/A</t>
        </is>
      </c>
      <c r="K10" s="22" t="inlineStr">
        <is>
          <t>Active</t>
        </is>
      </c>
      <c r="L10" s="25" t="inlineStr">
        <is>
          <t>N/A</t>
        </is>
      </c>
      <c r="M10" s="25" t="inlineStr">
        <is>
          <t>N/A</t>
        </is>
      </c>
      <c r="N10" s="27" t="n">
        <v>1</v>
      </c>
      <c r="O10" s="25" t="inlineStr">
        <is>
          <t>N/A</t>
        </is>
      </c>
      <c r="P10" s="25" t="inlineStr">
        <is>
          <t>N/A</t>
        </is>
      </c>
      <c r="Q10" s="25" t="inlineStr">
        <is>
          <t>N/A</t>
        </is>
      </c>
      <c r="R10" s="25" t="inlineStr">
        <is>
          <t>N/A</t>
        </is>
      </c>
      <c r="S10" s="26" t="inlineStr">
        <is>
          <t>Romsons Group Private Limited</t>
        </is>
      </c>
      <c r="T10" s="26" t="inlineStr">
        <is>
          <t>GST APOB: 174-A, Industrial Estate, Agra 282006. Declared activities include Factory/Manufacturing, Warehouse/Depot, Export. Tier 2 supporting Agra cluster.</t>
        </is>
      </c>
      <c r="U10" s="26" t="inlineStr">
        <is>
          <t>GSTIN 09AAACR5839H1Z4 APOB list</t>
        </is>
      </c>
      <c r="V10" s="28" t="inlineStr">
        <is>
          <t>Tier 2 — Important</t>
        </is>
      </c>
    </row>
    <row r="11">
      <c r="A11" s="20" t="n">
        <v>7</v>
      </c>
      <c r="B11" s="21" t="inlineStr">
        <is>
          <t>Romsons Foundry Nagar Unit — C-67 Aligarh Road</t>
        </is>
      </c>
      <c r="C11" s="20" t="inlineStr">
        <is>
          <t>Disposable Medical Devices — Domestic Manufacturing</t>
        </is>
      </c>
      <c r="D11" s="20" t="inlineStr">
        <is>
          <t>Plant</t>
        </is>
      </c>
      <c r="E11" s="20" t="inlineStr">
        <is>
          <t>Factory / manufacturing (GST-declared Foundry Nagar cluster site)</t>
        </is>
      </c>
      <c r="F11" s="20" t="inlineStr">
        <is>
          <t>Agra</t>
        </is>
      </c>
      <c r="G11" s="20" t="inlineStr">
        <is>
          <t>Uttar Pradesh</t>
        </is>
      </c>
      <c r="H11" s="20" t="inlineStr">
        <is>
          <t>India</t>
        </is>
      </c>
      <c r="I11" s="20" t="inlineStr">
        <is>
          <t>N/A</t>
        </is>
      </c>
      <c r="J11" s="20" t="inlineStr">
        <is>
          <t>N/A</t>
        </is>
      </c>
      <c r="K11" s="22" t="inlineStr">
        <is>
          <t>Active</t>
        </is>
      </c>
      <c r="L11" s="20" t="inlineStr">
        <is>
          <t>N/A</t>
        </is>
      </c>
      <c r="M11" s="20" t="inlineStr">
        <is>
          <t>N/A</t>
        </is>
      </c>
      <c r="N11" s="23" t="n">
        <v>1</v>
      </c>
      <c r="O11" s="20" t="inlineStr">
        <is>
          <t>N/A</t>
        </is>
      </c>
      <c r="P11" s="20" t="inlineStr">
        <is>
          <t>N/A</t>
        </is>
      </c>
      <c r="Q11" s="20" t="inlineStr">
        <is>
          <t>N/A</t>
        </is>
      </c>
      <c r="R11" s="20" t="inlineStr">
        <is>
          <t>N/A</t>
        </is>
      </c>
      <c r="S11" s="21" t="inlineStr">
        <is>
          <t>Romsons Group Private Limited</t>
        </is>
      </c>
      <c r="T11" s="21" t="inlineStr">
        <is>
          <t>GST APOB: C-67, Aligarh Road, Foundry Nagar, Agra 282006. Part of Foundry Nagar manufacturing cluster alongside Plants 2/4/5. Plant number not disclosed on sampled product labels — Tier 2.</t>
        </is>
      </c>
      <c r="U11" s="21" t="inlineStr">
        <is>
          <t>GSTIN 09AAACR5839H1Z4 APOB list</t>
        </is>
      </c>
      <c r="V11" s="28" t="inlineStr">
        <is>
          <t>Tier 2 — Important</t>
        </is>
      </c>
    </row>
    <row r="12">
      <c r="A12" s="25" t="n">
        <v>8</v>
      </c>
      <c r="B12" s="26" t="inlineStr">
        <is>
          <t>Romsons Foundry Nagar Unit — C-8 Industrial Area</t>
        </is>
      </c>
      <c r="C12" s="25" t="inlineStr">
        <is>
          <t>Disposable Medical Devices — Domestic Manufacturing</t>
        </is>
      </c>
      <c r="D12" s="25" t="inlineStr">
        <is>
          <t>Plant</t>
        </is>
      </c>
      <c r="E12" s="25" t="inlineStr">
        <is>
          <t>Factory / manufacturing (GST-declared Foundry Nagar cluster site)</t>
        </is>
      </c>
      <c r="F12" s="25" t="inlineStr">
        <is>
          <t>Agra</t>
        </is>
      </c>
      <c r="G12" s="25" t="inlineStr">
        <is>
          <t>Uttar Pradesh</t>
        </is>
      </c>
      <c r="H12" s="25" t="inlineStr">
        <is>
          <t>India</t>
        </is>
      </c>
      <c r="I12" s="25" t="inlineStr">
        <is>
          <t>N/A</t>
        </is>
      </c>
      <c r="J12" s="25" t="inlineStr">
        <is>
          <t>N/A</t>
        </is>
      </c>
      <c r="K12" s="22" t="inlineStr">
        <is>
          <t>Active</t>
        </is>
      </c>
      <c r="L12" s="25" t="inlineStr">
        <is>
          <t>N/A</t>
        </is>
      </c>
      <c r="M12" s="25" t="inlineStr">
        <is>
          <t>N/A</t>
        </is>
      </c>
      <c r="N12" s="27" t="n">
        <v>1</v>
      </c>
      <c r="O12" s="25" t="inlineStr">
        <is>
          <t>N/A</t>
        </is>
      </c>
      <c r="P12" s="25" t="inlineStr">
        <is>
          <t>N/A</t>
        </is>
      </c>
      <c r="Q12" s="25" t="inlineStr">
        <is>
          <t>N/A</t>
        </is>
      </c>
      <c r="R12" s="25" t="inlineStr">
        <is>
          <t>N/A</t>
        </is>
      </c>
      <c r="S12" s="26" t="inlineStr">
        <is>
          <t>Romsons Group Private Limited</t>
        </is>
      </c>
      <c r="T12" s="26" t="inlineStr">
        <is>
          <t>GST APOB: C-8, Industrial Area, Foundry Nagar, Agra 282006. Supporting Foundry Nagar capacity — Tier 2.</t>
        </is>
      </c>
      <c r="U12" s="26" t="inlineStr">
        <is>
          <t>GSTIN 09AAACR5839H1Z4 APOB list</t>
        </is>
      </c>
      <c r="V12" s="28" t="inlineStr">
        <is>
          <t>Tier 2 — Important</t>
        </is>
      </c>
    </row>
    <row r="13">
      <c r="A13" s="20" t="n">
        <v>9</v>
      </c>
      <c r="B13" s="21" t="inlineStr">
        <is>
          <t>Romsons Nawalpur Facility — Khasra No. 169 M</t>
        </is>
      </c>
      <c r="C13" s="20" t="inlineStr">
        <is>
          <t>Disposable Medical Devices — Logistics / Manufacturing</t>
        </is>
      </c>
      <c r="D13" s="20" t="inlineStr">
        <is>
          <t>Other</t>
        </is>
      </c>
      <c r="E13" s="20" t="inlineStr">
        <is>
          <t>Factory / warehouse / depot (GST-declared multi-use site on Nawalpur Road)</t>
        </is>
      </c>
      <c r="F13" s="20" t="inlineStr">
        <is>
          <t>Agra</t>
        </is>
      </c>
      <c r="G13" s="20" t="inlineStr">
        <is>
          <t>Uttar Pradesh</t>
        </is>
      </c>
      <c r="H13" s="20" t="inlineStr">
        <is>
          <t>India</t>
        </is>
      </c>
      <c r="I13" s="20" t="inlineStr">
        <is>
          <t>N/A</t>
        </is>
      </c>
      <c r="J13" s="20" t="inlineStr">
        <is>
          <t>N/A</t>
        </is>
      </c>
      <c r="K13" s="22" t="inlineStr">
        <is>
          <t>Active</t>
        </is>
      </c>
      <c r="L13" s="20" t="inlineStr">
        <is>
          <t>N/A</t>
        </is>
      </c>
      <c r="M13" s="20" t="inlineStr">
        <is>
          <t>N/A</t>
        </is>
      </c>
      <c r="N13" s="23" t="n">
        <v>1</v>
      </c>
      <c r="O13" s="20" t="inlineStr">
        <is>
          <t>N/A</t>
        </is>
      </c>
      <c r="P13" s="20" t="inlineStr">
        <is>
          <t>N/A</t>
        </is>
      </c>
      <c r="Q13" s="20" t="inlineStr">
        <is>
          <t>N/A</t>
        </is>
      </c>
      <c r="R13" s="20" t="inlineStr">
        <is>
          <t>N/A</t>
        </is>
      </c>
      <c r="S13" s="21" t="inlineStr">
        <is>
          <t>Romsons Group Private Limited</t>
        </is>
      </c>
      <c r="T13" s="21" t="inlineStr">
        <is>
          <t>GST APOB: Ground Floor, Khasra No. 169 M, Nawalpur, Nawalpur Road, Agra 283202. Activities include Factory/Manufacturing, Warehouse/Depot, Export. Peripheral Agra logistics/production node — Tier 3 Supporting. Related Romsons Medsource partnership entity separately registered nearby at Khasra 544 &amp; 551, Etmadpur, Village Dharehra.</t>
        </is>
      </c>
      <c r="U13" s="21" t="inlineStr">
        <is>
          <t>GSTIN 09AAACR5839H1Z4 APOB list | Romsons Medsource GSTIN 09AAVFR8784K1ZW (related entity context)</t>
        </is>
      </c>
      <c r="V13" s="29" t="inlineStr">
        <is>
          <t>Tier 3 — Supporting</t>
        </is>
      </c>
    </row>
    <row r="14">
      <c r="A14" s="25" t="n">
        <v>10</v>
      </c>
      <c r="B14" s="26" t="inlineStr">
        <is>
          <t>Romsons Agra Extended Land Parcel — Khasra Nos. ~174+ (Dharehra / Nawalpur belt)</t>
        </is>
      </c>
      <c r="C14" s="25" t="inlineStr">
        <is>
          <t>Disposable Medical Devices — Domestic Manufacturing</t>
        </is>
      </c>
      <c r="D14" s="25" t="inlineStr">
        <is>
          <t>Plant</t>
        </is>
      </c>
      <c r="E14" s="25" t="inlineStr">
        <is>
          <t>Factory / manufacturing (GST APOB; exact khasra string truncated in public extract)</t>
        </is>
      </c>
      <c r="F14" s="25" t="inlineStr">
        <is>
          <t>Agra</t>
        </is>
      </c>
      <c r="G14" s="25" t="inlineStr">
        <is>
          <t>Uttar Pradesh</t>
        </is>
      </c>
      <c r="H14" s="25" t="inlineStr">
        <is>
          <t>India</t>
        </is>
      </c>
      <c r="I14" s="25" t="inlineStr">
        <is>
          <t>N/A</t>
        </is>
      </c>
      <c r="J14" s="25" t="inlineStr">
        <is>
          <t>N/A</t>
        </is>
      </c>
      <c r="K14" s="22" t="inlineStr">
        <is>
          <t>Active</t>
        </is>
      </c>
      <c r="L14" s="25" t="inlineStr">
        <is>
          <t>N/A</t>
        </is>
      </c>
      <c r="M14" s="25" t="inlineStr">
        <is>
          <t>N/A</t>
        </is>
      </c>
      <c r="N14" s="27" t="n">
        <v>1</v>
      </c>
      <c r="O14" s="25" t="inlineStr">
        <is>
          <t>N/A</t>
        </is>
      </c>
      <c r="P14" s="25" t="inlineStr">
        <is>
          <t>N/A</t>
        </is>
      </c>
      <c r="Q14" s="25" t="inlineStr">
        <is>
          <t>N/A</t>
        </is>
      </c>
      <c r="R14" s="25" t="inlineStr">
        <is>
          <t>N/A</t>
        </is>
      </c>
      <c r="S14" s="26" t="inlineStr">
        <is>
          <t>Romsons Group Private Limited</t>
        </is>
      </c>
      <c r="T14" s="26" t="inlineStr">
        <is>
          <t>Eleventh GST APOB listed as starting 'Khasra No. 174…' (public TaxAdda extract truncated). Secondary sources associate khasra parcels in the Dharehra/Nawalpur Agra belt with Romsons Group / Medsource operations. Treat as distinct from Khasra 169 M Nawalpur site. Confirm full survey numbers from GST portal before legal/title use — Tier 2 pending full address.</t>
        </is>
      </c>
      <c r="U14" s="26" t="inlineStr">
        <is>
          <t>GSTIN 09AAACR5839H1Z4 APOB list (partial text) | related Medsource Dharehra filings</t>
        </is>
      </c>
      <c r="V14" s="28" t="inlineStr">
        <is>
          <t>Tier 2 — Important</t>
        </is>
      </c>
    </row>
    <row r="15">
      <c r="A15" s="20" t="n">
        <v>11</v>
      </c>
      <c r="B15" s="21" t="inlineStr">
        <is>
          <t>Romsons International Unit-II — Noida Special Economic Zone (Export Manufacturing)</t>
        </is>
      </c>
      <c r="C15" s="20" t="inlineStr">
        <is>
          <t>Export / International Manufacturing</t>
        </is>
      </c>
      <c r="D15" s="20" t="inlineStr">
        <is>
          <t>Plant</t>
        </is>
      </c>
      <c r="E15" s="20" t="inlineStr">
        <is>
          <t>100% export-oriented disposable medical-device manufacturing — moulding, extrusion, assembly, packing; USFDA-registered establishment; CE-marked; ISO 13485</t>
        </is>
      </c>
      <c r="F15" s="20" t="inlineStr">
        <is>
          <t>Noida</t>
        </is>
      </c>
      <c r="G15" s="20" t="inlineStr">
        <is>
          <t>Uttar Pradesh</t>
        </is>
      </c>
      <c r="H15" s="20" t="inlineStr">
        <is>
          <t>India</t>
        </is>
      </c>
      <c r="I15" s="20" t="inlineStr">
        <is>
          <t>N/A</t>
        </is>
      </c>
      <c r="J15" s="20" t="inlineStr">
        <is>
          <t>N/A</t>
        </is>
      </c>
      <c r="K15" s="22" t="inlineStr">
        <is>
          <t>Active</t>
        </is>
      </c>
      <c r="L15" s="20" t="n">
        <v>2009</v>
      </c>
      <c r="M15" s="20" t="inlineStr">
        <is>
          <t>N/A</t>
        </is>
      </c>
      <c r="N15" s="23" t="n">
        <v>1</v>
      </c>
      <c r="O15" s="20" t="inlineStr">
        <is>
          <t>N/A</t>
        </is>
      </c>
      <c r="P15" s="20" t="inlineStr">
        <is>
          <t>N/A</t>
        </is>
      </c>
      <c r="Q15" s="20" t="inlineStr">
        <is>
          <t>N/A</t>
        </is>
      </c>
      <c r="R15" s="20" t="inlineStr">
        <is>
          <t>N/A</t>
        </is>
      </c>
      <c r="S15" s="21" t="inlineStr">
        <is>
          <t>Romsons International (Unit-II) — division of Romsons Group</t>
        </is>
      </c>
      <c r="T15" s="21" t="inlineStr">
        <is>
          <t>Office &amp; Works: 59J(C) &amp; 9, Noida Special Economic Zone, Noida Dadri Road, Phase-II, Noida 201305. Unit II incorporated 2009 (first production site outside Agra); Romsons International completely shifted to NSEZ in 2013 for global exports. USFDA Establishment Registration No. 9613418 / FEI 3001044237 (active). Primary export manufacturing hub serving 65–75+ countries — Tier 1 Core. Nameplate capacity not publicly disclosed.</t>
        </is>
      </c>
      <c r="U15" s="21" t="inlineStr">
        <is>
          <t>https://html.romsons.net.in/international/about.html | https://html.romsons.net.in/international/contact.html | https://www.accessdata.fda.gov/scripts/cdrh/cfdocs/cfRL/rl.cfm?rid=57660</t>
        </is>
      </c>
      <c r="V15" s="24" t="inlineStr">
        <is>
          <t>Tier 1 — Core</t>
        </is>
      </c>
    </row>
    <row r="16">
      <c r="A16" s="25" t="n">
        <v>12</v>
      </c>
      <c r="B16" s="26" t="inlineStr">
        <is>
          <t>RGI Meditech / Romsons Sector 63 Noida — J-32 (Adult Diapers &amp; Healthcare Consumer Goods)</t>
        </is>
      </c>
      <c r="C16" s="25" t="inlineStr">
        <is>
          <t>Healthcare Consumer Goods</t>
        </is>
      </c>
      <c r="D16" s="25" t="inlineStr">
        <is>
          <t>Plant</t>
        </is>
      </c>
      <c r="E16" s="25" t="inlineStr">
        <is>
          <t>Disposable adult diapers, incontinence and healthcare consumer goods manufacturing</t>
        </is>
      </c>
      <c r="F16" s="25" t="inlineStr">
        <is>
          <t>Noida</t>
        </is>
      </c>
      <c r="G16" s="25" t="inlineStr">
        <is>
          <t>Uttar Pradesh</t>
        </is>
      </c>
      <c r="H16" s="25" t="inlineStr">
        <is>
          <t>India</t>
        </is>
      </c>
      <c r="I16" s="25" t="inlineStr">
        <is>
          <t>N/A</t>
        </is>
      </c>
      <c r="J16" s="25" t="inlineStr">
        <is>
          <t>N/A</t>
        </is>
      </c>
      <c r="K16" s="22" t="inlineStr">
        <is>
          <t>Active</t>
        </is>
      </c>
      <c r="L16" s="25" t="n">
        <v>2014</v>
      </c>
      <c r="M16" s="25" t="inlineStr">
        <is>
          <t>N/A</t>
        </is>
      </c>
      <c r="N16" s="27" t="n">
        <v>1</v>
      </c>
      <c r="O16" s="25" t="inlineStr">
        <is>
          <t>N/A</t>
        </is>
      </c>
      <c r="P16" s="25" t="inlineStr">
        <is>
          <t>N/A</t>
        </is>
      </c>
      <c r="Q16" s="25" t="inlineStr">
        <is>
          <t>N/A</t>
        </is>
      </c>
      <c r="R16" s="25" t="inlineStr">
        <is>
          <t>N/A</t>
        </is>
      </c>
      <c r="S16" s="26" t="inlineStr">
        <is>
          <t>Romsons Group Private Limited (post-amalgamation of R.G.I. Meditech Private Limited; historical registered office J-31 Sector-63)</t>
        </is>
      </c>
      <c r="T16" s="26" t="inlineStr">
        <is>
          <t>RGI Meditech incorporated 2014 for adult diapers &amp; consumer healthcare in Noida. Transferor registered office in amalgamation: J-31, Sector-63, Gautam Buddha Nagar, Noida 201301. GST APOB for Group: J 32, Sector 63, Gautambuddha Nagar 201301 (Factory/Manufacturing). Trade listings cite Noida factory ~10,000–250,000 sqm range with multiple lines — size band unverified. Material consumer-care manufacturing node — Tier 2 Important (strategic diversification; &lt;core medical-device revenue share undisclosed).</t>
        </is>
      </c>
      <c r="U16" s="26" t="inlineStr">
        <is>
          <t>https://html.romsons.net.in/international/about.html | NCLT CA(CAA) No. 32/ALD/2023 amalgamation order | GSTIN 09AAACR5839H1Z4 APOB J-32 Sector 63 | TradeKey Romsons factory profile</t>
        </is>
      </c>
      <c r="V16" s="28" t="inlineStr">
        <is>
          <t>Tier 2 — Important</t>
        </is>
      </c>
    </row>
    <row r="17">
      <c r="A17" s="20" t="n">
        <v>13</v>
      </c>
      <c r="B17" s="21" t="inlineStr">
        <is>
          <t>Romsons Noida Sector 63 — D-212 Ground Floor &amp; Basement</t>
        </is>
      </c>
      <c r="C17" s="20" t="inlineStr">
        <is>
          <t>Healthcare Consumer Goods / Logistics</t>
        </is>
      </c>
      <c r="D17" s="20" t="inlineStr">
        <is>
          <t>Other</t>
        </is>
      </c>
      <c r="E17" s="20" t="inlineStr">
        <is>
          <t>Factory / office / warehouse / depot (GST multi-use Sector 63 site)</t>
        </is>
      </c>
      <c r="F17" s="20" t="inlineStr">
        <is>
          <t>Noida</t>
        </is>
      </c>
      <c r="G17" s="20" t="inlineStr">
        <is>
          <t>Uttar Pradesh</t>
        </is>
      </c>
      <c r="H17" s="20" t="inlineStr">
        <is>
          <t>India</t>
        </is>
      </c>
      <c r="I17" s="20" t="inlineStr">
        <is>
          <t>N/A</t>
        </is>
      </c>
      <c r="J17" s="20" t="inlineStr">
        <is>
          <t>N/A</t>
        </is>
      </c>
      <c r="K17" s="22" t="inlineStr">
        <is>
          <t>Active</t>
        </is>
      </c>
      <c r="L17" s="20" t="inlineStr">
        <is>
          <t>N/A</t>
        </is>
      </c>
      <c r="M17" s="20" t="inlineStr">
        <is>
          <t>N/A</t>
        </is>
      </c>
      <c r="N17" s="23" t="n">
        <v>1</v>
      </c>
      <c r="O17" s="20" t="inlineStr">
        <is>
          <t>N/A</t>
        </is>
      </c>
      <c r="P17" s="20" t="inlineStr">
        <is>
          <t>N/A</t>
        </is>
      </c>
      <c r="Q17" s="20" t="inlineStr">
        <is>
          <t>N/A</t>
        </is>
      </c>
      <c r="R17" s="20" t="inlineStr">
        <is>
          <t>N/A</t>
        </is>
      </c>
      <c r="S17" s="21" t="inlineStr">
        <is>
          <t>Romsons Group Private Limited</t>
        </is>
      </c>
      <c r="T17" s="21" t="inlineStr">
        <is>
          <t>GST APOB: Ground Floor and Basement, D-212, Sector-63, Gautambuddha Nagar 201301. Complements J-32 consumer/medical logistics cluster in Noida — Tier 3 Supporting.</t>
        </is>
      </c>
      <c r="U17" s="21" t="inlineStr">
        <is>
          <t>GSTIN 09AAACR5839H1Z4 APOB list</t>
        </is>
      </c>
      <c r="V17" s="29" t="inlineStr">
        <is>
          <t>Tier 3 — Supporting</t>
        </is>
      </c>
    </row>
    <row r="18">
      <c r="A18" s="25" t="n">
        <v>14</v>
      </c>
      <c r="B18" s="26" t="inlineStr">
        <is>
          <t>Romsons Plant-7 — E-243 Phase VIII-B Industrial Focal Point Mohali</t>
        </is>
      </c>
      <c r="C18" s="25" t="inlineStr">
        <is>
          <t>Healthcare Consumer Goods / Patient Care</t>
        </is>
      </c>
      <c r="D18" s="25" t="inlineStr">
        <is>
          <t>Plant</t>
        </is>
      </c>
      <c r="E18" s="25" t="inlineStr">
        <is>
          <t>Patient-care / orthocare soft-goods manufacturing (e.g. cervical pillows; HSN includes soft furnishings / medical supports)</t>
        </is>
      </c>
      <c r="F18" s="25" t="inlineStr">
        <is>
          <t>Mohali (SAS Nagar)</t>
        </is>
      </c>
      <c r="G18" s="25" t="inlineStr">
        <is>
          <t>Punjab</t>
        </is>
      </c>
      <c r="H18" s="25" t="inlineStr">
        <is>
          <t>India</t>
        </is>
      </c>
      <c r="I18" s="25" t="inlineStr">
        <is>
          <t>N/A</t>
        </is>
      </c>
      <c r="J18" s="25" t="inlineStr">
        <is>
          <t>N/A</t>
        </is>
      </c>
      <c r="K18" s="22" t="inlineStr">
        <is>
          <t>Active</t>
        </is>
      </c>
      <c r="L18" s="25" t="n">
        <v>2023</v>
      </c>
      <c r="M18" s="25" t="inlineStr">
        <is>
          <t>N/A</t>
        </is>
      </c>
      <c r="N18" s="27" t="n">
        <v>1</v>
      </c>
      <c r="O18" s="25" t="inlineStr">
        <is>
          <t>N/A</t>
        </is>
      </c>
      <c r="P18" s="25" t="inlineStr">
        <is>
          <t>N/A</t>
        </is>
      </c>
      <c r="Q18" s="25" t="inlineStr">
        <is>
          <t>N/A</t>
        </is>
      </c>
      <c r="R18" s="25" t="inlineStr">
        <is>
          <t>N/A</t>
        </is>
      </c>
      <c r="S18" s="26" t="inlineStr">
        <is>
          <t>Romsons Group Private Limited</t>
        </is>
      </c>
      <c r="T18" s="26" t="inlineStr">
        <is>
          <t>Product labels: Plant-7, E-243, Phase 8-B, Sector 90, Industrial Focal Point, Mohali, Punjab 160071. Punjab GSTIN 03AAACR5839H1ZG registered 23 May 2023 at Plot E-243 Phase VIII-B, Industrial Focal Point, Mohali. Geographic diversification beyond UP — Tier 2 Important.</t>
        </is>
      </c>
      <c r="U18" s="26" t="inlineStr">
        <is>
          <t>https://www.romsons.in/products/cervical-pillow-contoured | https://gst.jamku.app/gstin/03AAACR5839H1ZG</t>
        </is>
      </c>
      <c r="V18" s="28" t="inlineStr">
        <is>
          <t>Tier 2 — Important</t>
        </is>
      </c>
    </row>
    <row r="19">
      <c r="A19" s="20" t="n">
        <v>15</v>
      </c>
      <c r="B19" s="21" t="inlineStr">
        <is>
          <t>Romsons In-House Ethylene Oxide (EO) Sterilization Plant — Agra Campus</t>
        </is>
      </c>
      <c r="C19" s="20" t="inlineStr">
        <is>
          <t>Disposable Medical Devices — Quality / Sterilization</t>
        </is>
      </c>
      <c r="D19" s="20" t="inlineStr">
        <is>
          <t>Plant</t>
        </is>
      </c>
      <c r="E19" s="20" t="inlineStr">
        <is>
          <t>In-house EO sterilization (ISO 11135 compliant); automated/computerised batch documentation; supports full disposable range</t>
        </is>
      </c>
      <c r="F19" s="20" t="inlineStr">
        <is>
          <t>Agra</t>
        </is>
      </c>
      <c r="G19" s="20" t="inlineStr">
        <is>
          <t>Uttar Pradesh</t>
        </is>
      </c>
      <c r="H19" s="20" t="inlineStr">
        <is>
          <t>India</t>
        </is>
      </c>
      <c r="I19" s="20" t="inlineStr">
        <is>
          <t>N/A</t>
        </is>
      </c>
      <c r="J19" s="20" t="inlineStr">
        <is>
          <t>N/A</t>
        </is>
      </c>
      <c r="K19" s="22" t="inlineStr">
        <is>
          <t>Active</t>
        </is>
      </c>
      <c r="L19" s="20" t="n">
        <v>1984</v>
      </c>
      <c r="M19" s="20" t="inlineStr">
        <is>
          <t>N/A</t>
        </is>
      </c>
      <c r="N19" s="23" t="n">
        <v>1</v>
      </c>
      <c r="O19" s="20" t="inlineStr">
        <is>
          <t>N/A</t>
        </is>
      </c>
      <c r="P19" s="20" t="inlineStr">
        <is>
          <t>N/A</t>
        </is>
      </c>
      <c r="Q19" s="20" t="inlineStr">
        <is>
          <t>N/A</t>
        </is>
      </c>
      <c r="R19" s="20" t="inlineStr">
        <is>
          <t>N/A</t>
        </is>
      </c>
      <c r="S19" s="21" t="inlineStr">
        <is>
          <t>Romsons Group Private Limited</t>
        </is>
      </c>
      <c r="T19" s="21" t="inlineStr">
        <is>
          <t>Company states it was the first medical-device company in India to set up an in-house sterilization plant (1984). Entire disposable range sterilized in-house via EO per ISO 11135; process audited annually. Exact building within Nunhai/Foundry campus not separately addressed — treated as critical co-located process asset. Historical 1974 BARC Mumbai sterilization milestone was sector/industry breakthrough context, not a current company-owned plant. Loss would halt sterile product release — Tier 1 Core.</t>
        </is>
      </c>
      <c r="U19" s="21" t="inlineStr">
        <is>
          <t>https://html.romsons.net.in/international/about.html | https://html.romsons.net.in/domestic/about.html | Product catalogue GS-160 packaging &amp; sterilization section | https://www.romsons.in/blogs/post/all-about-romsons</t>
        </is>
      </c>
      <c r="V19" s="24" t="inlineStr">
        <is>
          <t>Tier 1 — Core</t>
        </is>
      </c>
    </row>
    <row r="20">
      <c r="A20" s="25" t="n">
        <v>16</v>
      </c>
      <c r="B20" s="26" t="inlineStr">
        <is>
          <t>Romsons DSIR-Recognised R&amp;D Centre &amp; In-House Tool Room — Agra</t>
        </is>
      </c>
      <c r="C20" s="25" t="inlineStr">
        <is>
          <t>R&amp;D / Product Development</t>
        </is>
      </c>
      <c r="D20" s="25" t="inlineStr">
        <is>
          <t>R&amp;D Centre</t>
        </is>
      </c>
      <c r="E20" s="25" t="inlineStr">
        <is>
          <t>Medical-device R&amp;D, product design, mould development; CNC milling (from 2006); in-house tool room for mould repair &amp; maintenance</t>
        </is>
      </c>
      <c r="F20" s="25" t="inlineStr">
        <is>
          <t>Agra</t>
        </is>
      </c>
      <c r="G20" s="25" t="inlineStr">
        <is>
          <t>Uttar Pradesh</t>
        </is>
      </c>
      <c r="H20" s="25" t="inlineStr">
        <is>
          <t>India</t>
        </is>
      </c>
      <c r="I20" s="25" t="inlineStr">
        <is>
          <t>N/A</t>
        </is>
      </c>
      <c r="J20" s="25" t="inlineStr">
        <is>
          <t>N/A</t>
        </is>
      </c>
      <c r="K20" s="22" t="inlineStr">
        <is>
          <t>Active</t>
        </is>
      </c>
      <c r="L20" s="25" t="n">
        <v>1998</v>
      </c>
      <c r="M20" s="25" t="inlineStr">
        <is>
          <t>N/A</t>
        </is>
      </c>
      <c r="N20" s="27" t="n">
        <v>1</v>
      </c>
      <c r="O20" s="25" t="inlineStr">
        <is>
          <t>N/A</t>
        </is>
      </c>
      <c r="P20" s="25" t="inlineStr">
        <is>
          <t>N/A</t>
        </is>
      </c>
      <c r="Q20" s="25" t="inlineStr">
        <is>
          <t>N/A</t>
        </is>
      </c>
      <c r="R20" s="25" t="inlineStr">
        <is>
          <t>N/A</t>
        </is>
      </c>
      <c r="S20" s="26" t="inlineStr">
        <is>
          <t>Romsons Group Private Limited (legacy Romsons Scientific and Surgical Industries Pvt. Ltd. DSIR listing)</t>
        </is>
      </c>
      <c r="T20" s="26" t="inlineStr">
        <is>
          <t>In-house tool room &amp; R&amp;D department launched 1998. R&amp;D centre recognised by DSIR (Department of Scientific &amp; Industrial Research) in 2018. NSTMIS/India Science &amp; Technology lists Romsons Scientific and Surgical Industries Pvt. Ltd., Agra as Private Sector DSIR Registered. Physical footprint co-located with Nunhai works; separate sqm not disclosed — Tier 2 Important (sector priority R&amp;D).</t>
        </is>
      </c>
      <c r="U20" s="26" t="inlineStr">
        <is>
          <t>https://html.romsons.net.in/international/about.html | https://www.romsons.in/blogs/post/all-about-romsons | India Science &amp; Technology DSIR institution listing (Romsons Scientific and Surgical Industries Pvt. Ltd.)</t>
        </is>
      </c>
      <c r="V20" s="28" t="inlineStr">
        <is>
          <t>Tier 2 — Important</t>
        </is>
      </c>
    </row>
    <row r="21">
      <c r="A21" s="20" t="n">
        <v>17</v>
      </c>
      <c r="B21" s="21" t="inlineStr">
        <is>
          <t>Romsons Sales &amp; Marketing Corporate Office — 4/1 East Patel Nagar</t>
        </is>
      </c>
      <c r="C21" s="20" t="inlineStr">
        <is>
          <t>Corporate / Sales &amp; Marketing</t>
        </is>
      </c>
      <c r="D21" s="20" t="inlineStr">
        <is>
          <t>Office</t>
        </is>
      </c>
      <c r="E21" s="20" t="inlineStr">
        <is>
          <t>Corporate sales &amp; marketing headquarters (non-manufacturing)</t>
        </is>
      </c>
      <c r="F21" s="20" t="inlineStr">
        <is>
          <t>New Delhi</t>
        </is>
      </c>
      <c r="G21" s="20" t="inlineStr">
        <is>
          <t>Delhi</t>
        </is>
      </c>
      <c r="H21" s="20" t="inlineStr">
        <is>
          <t>India</t>
        </is>
      </c>
      <c r="I21" s="20" t="inlineStr">
        <is>
          <t>N/A</t>
        </is>
      </c>
      <c r="J21" s="20" t="inlineStr">
        <is>
          <t>N/A</t>
        </is>
      </c>
      <c r="K21" s="22" t="inlineStr">
        <is>
          <t>Active</t>
        </is>
      </c>
      <c r="L21" s="20" t="inlineStr">
        <is>
          <t>N/A</t>
        </is>
      </c>
      <c r="M21" s="20" t="inlineStr">
        <is>
          <t>N/A</t>
        </is>
      </c>
      <c r="N21" s="23" t="n">
        <v>1</v>
      </c>
      <c r="O21" s="20" t="inlineStr">
        <is>
          <t>N/A</t>
        </is>
      </c>
      <c r="P21" s="20" t="inlineStr">
        <is>
          <t>N/A</t>
        </is>
      </c>
      <c r="Q21" s="20" t="inlineStr">
        <is>
          <t>N/A</t>
        </is>
      </c>
      <c r="R21" s="20" t="inlineStr">
        <is>
          <t>N/A</t>
        </is>
      </c>
      <c r="S21" s="21" t="inlineStr">
        <is>
          <t>Romsons Group Private Limited</t>
        </is>
      </c>
      <c r="T21" s="21" t="inlineStr">
        <is>
          <t>Disclosed Sales &amp; Marketing / Corporate Office: 4/1 East Patel Nagar, New Delhi 110008. Tel +91-11-42630000. Material commercial HQ (not a general anonymous office) — included despite office exclusion guidance because explicitly disclosed as primary marketing HQ. Tier 3 Supporting.</t>
        </is>
      </c>
      <c r="U21" s="21" t="inlineStr">
        <is>
          <t>https://html.romsons.net.in/international/contact.html | https://html.romsons.net.in/domestic/contact.html | Product catalogue GS-160 corporate office block</t>
        </is>
      </c>
      <c r="V21" s="29" t="inlineStr">
        <is>
          <t>Tier 3 — Supporting</t>
        </is>
      </c>
    </row>
    <row r="22">
      <c r="A22" s="25" t="n">
        <v>18</v>
      </c>
      <c r="B22" s="26" t="inlineStr">
        <is>
          <t>Romsons Prime — B-248 Naraina Industrial Area Phase-1 (Consumer / E-commerce Ops)</t>
        </is>
      </c>
      <c r="C22" s="25" t="inlineStr">
        <is>
          <t>Domestic Consumer Distribution</t>
        </is>
      </c>
      <c r="D22" s="25" t="inlineStr">
        <is>
          <t>Office</t>
        </is>
      </c>
      <c r="E22" s="25" t="inlineStr">
        <is>
          <t>Consumer e-commerce, grievance &amp; distribution office for romsons.in</t>
        </is>
      </c>
      <c r="F22" s="25" t="inlineStr">
        <is>
          <t>New Delhi</t>
        </is>
      </c>
      <c r="G22" s="25" t="inlineStr">
        <is>
          <t>Delhi</t>
        </is>
      </c>
      <c r="H22" s="25" t="inlineStr">
        <is>
          <t>India</t>
        </is>
      </c>
      <c r="I22" s="25" t="inlineStr">
        <is>
          <t>N/A</t>
        </is>
      </c>
      <c r="J22" s="25" t="inlineStr">
        <is>
          <t>N/A</t>
        </is>
      </c>
      <c r="K22" s="22" t="inlineStr">
        <is>
          <t>Active</t>
        </is>
      </c>
      <c r="L22" s="25" t="n">
        <v>2022</v>
      </c>
      <c r="M22" s="25" t="inlineStr">
        <is>
          <t>N/A</t>
        </is>
      </c>
      <c r="N22" s="27" t="n">
        <v>1</v>
      </c>
      <c r="O22" s="25" t="inlineStr">
        <is>
          <t>N/A</t>
        </is>
      </c>
      <c r="P22" s="25" t="inlineStr">
        <is>
          <t>N/A</t>
        </is>
      </c>
      <c r="Q22" s="25" t="inlineStr">
        <is>
          <t>N/A</t>
        </is>
      </c>
      <c r="R22" s="25" t="inlineStr">
        <is>
          <t>N/A</t>
        </is>
      </c>
      <c r="S22" s="26" t="inlineStr">
        <is>
          <t>Romsons Prime Private Limited (CIN U33112DL2022PTC392804)</t>
        </is>
      </c>
      <c r="T22" s="26" t="inlineStr">
        <is>
          <t>Ground Floor, B-248, Naraina Industrial Area, Phase-1, Delhi 110028. Consumer-facing entity for romsons.in; holds multiple state MD-42 registrations. Supporting commercial node — Tier 3.</t>
        </is>
      </c>
      <c r="U22" s="26" t="inlineStr">
        <is>
          <t>https://www.romsons.in/pages/about-us | https://www.romsons.in/pages/contact-us</t>
        </is>
      </c>
      <c r="V22" s="29" t="inlineStr">
        <is>
          <t>Tier 3 — Supporting</t>
        </is>
      </c>
    </row>
    <row r="23">
      <c r="A23" s="20" t="n">
        <v>19</v>
      </c>
      <c r="B23" s="21" t="inlineStr">
        <is>
          <t>Romsons Pan-India Distribution Network — State-Capital Warehouses Cum Offices</t>
        </is>
      </c>
      <c r="C23" s="20" t="inlineStr">
        <is>
          <t>Domestic Distribution</t>
        </is>
      </c>
      <c r="D23" s="20" t="inlineStr">
        <is>
          <t>Distribution Network</t>
        </is>
      </c>
      <c r="E23" s="20" t="inlineStr">
        <is>
          <t>Warehouses cum offices at state capitals as district supply points; plus company offices at Delhi, Mumbai, Pune, Jaipur &amp; Agra; 800–810+ authorised distributors</t>
        </is>
      </c>
      <c r="F23" s="20" t="inlineStr">
        <is>
          <t>N/A</t>
        </is>
      </c>
      <c r="G23" s="20" t="inlineStr">
        <is>
          <t>Pan-India</t>
        </is>
      </c>
      <c r="H23" s="20" t="inlineStr">
        <is>
          <t>India</t>
        </is>
      </c>
      <c r="I23" s="20" t="inlineStr">
        <is>
          <t>N/A</t>
        </is>
      </c>
      <c r="J23" s="20" t="inlineStr">
        <is>
          <t>N/A</t>
        </is>
      </c>
      <c r="K23" s="22" t="inlineStr">
        <is>
          <t>Active</t>
        </is>
      </c>
      <c r="L23" s="20" t="inlineStr">
        <is>
          <t>N/A</t>
        </is>
      </c>
      <c r="M23" s="20" t="inlineStr">
        <is>
          <t>N/A</t>
        </is>
      </c>
      <c r="N23" s="23" t="n">
        <v>1</v>
      </c>
      <c r="O23" s="20" t="inlineStr">
        <is>
          <t>N/A</t>
        </is>
      </c>
      <c r="P23" s="20" t="inlineStr">
        <is>
          <t>N/A</t>
        </is>
      </c>
      <c r="Q23" s="20" t="inlineStr">
        <is>
          <t>N/A</t>
        </is>
      </c>
      <c r="R23" s="20" t="inlineStr">
        <is>
          <t>N/A</t>
        </is>
      </c>
      <c r="S23" s="21" t="inlineStr">
        <is>
          <t>Romsons Group Private Limited</t>
        </is>
      </c>
      <c r="T23" s="21" t="inlineStr">
        <is>
          <t>Domestic About page: own offices at Delhi, Mumbai, Pune, Jaipur &amp; Agra; warehouses cum offices at all State Capitals; &gt;800 authorised distributors. romsons.in About states warehousing hubs 'across the length and breadth of the country' but city list did not render in static HTML fetch. Individual warehouse addresses largely undisclosed except named hubs (e.g. Romsons Medsource Pune Hub — Gat No 789A/2, Taluka Haveli, Wadakinala 412308 — related Medsource entity). Captured as single network asset pending site-level disclosure — Tier 2 Important for domestic reach.</t>
        </is>
      </c>
      <c r="U23" s="21" t="inlineStr">
        <is>
          <t>https://html.romsons.net.in/domestic/about.html | https://www.romsons.in/pages/about-us | Romsons Medsource Pune Hub public place listing</t>
        </is>
      </c>
      <c r="V23" s="28" t="inlineStr">
        <is>
          <t>Tier 2 — Important</t>
        </is>
      </c>
    </row>
    <row r="24">
      <c r="A24" s="25" t="n">
        <v>20</v>
      </c>
      <c r="B24" s="26" t="inlineStr">
        <is>
          <t>Romsons Planned Manufacturing Unit — YEIDA / Jewar Medical Device Park (Sector 28)</t>
        </is>
      </c>
      <c r="C24" s="25" t="inlineStr">
        <is>
          <t>Disposable Medical Devices — Growth Projects</t>
        </is>
      </c>
      <c r="D24" s="25" t="inlineStr">
        <is>
          <t>Plant</t>
        </is>
      </c>
      <c r="E24" s="25" t="inlineStr">
        <is>
          <t>Planned medical-device manufacturing unit (earlier allotment: anaesthesia needles &amp; kits; later media: broader Jewar MDP factory expansion)</t>
        </is>
      </c>
      <c r="F24" s="25" t="inlineStr">
        <is>
          <t>Jewar / Greater Noida (YEIDA)</t>
        </is>
      </c>
      <c r="G24" s="25" t="inlineStr">
        <is>
          <t>Uttar Pradesh</t>
        </is>
      </c>
      <c r="H24" s="25" t="inlineStr">
        <is>
          <t>India</t>
        </is>
      </c>
      <c r="I24" s="25" t="inlineStr">
        <is>
          <t>N/A</t>
        </is>
      </c>
      <c r="J24" s="25" t="inlineStr">
        <is>
          <t>N/A</t>
        </is>
      </c>
      <c r="K24" s="30" t="inlineStr">
        <is>
          <t>Planned</t>
        </is>
      </c>
      <c r="L24" s="25" t="inlineStr">
        <is>
          <t>N/A</t>
        </is>
      </c>
      <c r="M24" s="25" t="inlineStr">
        <is>
          <t>N/A — YEIDA allottees generally required to operationalise within ~2 years of plot possession; specific Romsons COD not disclosed</t>
        </is>
      </c>
      <c r="N24" s="27" t="n">
        <v>1</v>
      </c>
      <c r="O24" s="25" t="inlineStr">
        <is>
          <t>N/A</t>
        </is>
      </c>
      <c r="P24" s="25" t="n">
        <v>10000</v>
      </c>
      <c r="Q24" s="25" t="inlineStr">
        <is>
          <t>INR</t>
        </is>
      </c>
      <c r="R24" s="30" t="inlineStr">
        <is>
          <t>Announced</t>
        </is>
      </c>
      <c r="S24" s="26" t="inlineStr">
        <is>
          <t>Romsons Group Private Limited</t>
        </is>
      </c>
      <c r="T24" s="26" t="inlineStr">
        <is>
          <t>YEIDA Medical Device Park Sector 28: Romsons Group among successful plot allottees (TOI 2022); India Infra Hub cites Ramsons/Romsons Group among top 4,000 sqm allottees for anaesthesia needle &amp; kit unit (~₹15 Cr). Feb 2026 Agraleaks: company signed ~₹100 Cr investment proposal at Lucknow Pharma Conclave for new factory at Jewar Medical Device Park (choosing Jewar over further Agra expansion amid TTZ land constraints). est_project_cost uses ₹100 Cr (₹10,000 mm) media MoU figure; earlier ₹15 Cr allotment may be subset/prior phase — reconcile when formal FID disclosed. Status Planned / Announced — not yet Under Construction in public sources.</t>
        </is>
      </c>
      <c r="U24" s="26" t="inlineStr">
        <is>
          <t>https://timesofindia.indiatimes.com/city/noida/37-firms-get-med-park-plots-to-invest-550cr/articleshow/93064731.cms | https://indiainfrahub.com/featured/ups-first-medical-device-park-26-allottees-receive-nod-to-establish-their-units-at-sector-28-in-yeida-region/ | https://agraleaks.com/agra-news-romsons-invest-rs-100-crore-in-jewar-instead-of-agra-for-new-factory/</t>
        </is>
      </c>
      <c r="V24" s="28" t="inlineStr">
        <is>
          <t>Tier 2 — Important</t>
        </is>
      </c>
    </row>
    <row r="25">
      <c r="A25" s="20" t="n">
        <v>21</v>
      </c>
      <c r="B25" s="21" t="inlineStr">
        <is>
          <t>Romsons IEM — Agra Instruments &amp; Appliances Capacity Expansion (Conceptual)</t>
        </is>
      </c>
      <c r="C25" s="20" t="inlineStr">
        <is>
          <t>Disposable Medical Devices — Growth Projects</t>
        </is>
      </c>
      <c r="D25" s="20" t="inlineStr">
        <is>
          <t>Plant</t>
        </is>
      </c>
      <c r="E25" s="20" t="inlineStr">
        <is>
          <t>Proposed manufacturing of instruments &amp; appliances used in surgical, medical, dental or veterinary science</t>
        </is>
      </c>
      <c r="F25" s="20" t="inlineStr">
        <is>
          <t>Agra</t>
        </is>
      </c>
      <c r="G25" s="20" t="inlineStr">
        <is>
          <t>Uttar Pradesh</t>
        </is>
      </c>
      <c r="H25" s="20" t="inlineStr">
        <is>
          <t>India</t>
        </is>
      </c>
      <c r="I25" s="31" t="n">
        <v>293000000</v>
      </c>
      <c r="J25" s="20" t="inlineStr">
        <is>
          <t>pieces/year</t>
        </is>
      </c>
      <c r="K25" s="30" t="inlineStr">
        <is>
          <t>Planned</t>
        </is>
      </c>
      <c r="L25" s="20" t="inlineStr">
        <is>
          <t>N/A</t>
        </is>
      </c>
      <c r="M25" s="20" t="inlineStr">
        <is>
          <t>N/A — ProjectX stage Conceptual/Planning (2022); may be superseded by Jewar MDP expansion</t>
        </is>
      </c>
      <c r="N25" s="23" t="n">
        <v>1</v>
      </c>
      <c r="O25" s="20" t="inlineStr">
        <is>
          <t>N/A</t>
        </is>
      </c>
      <c r="P25" s="20" t="inlineStr">
        <is>
          <t>N/A</t>
        </is>
      </c>
      <c r="Q25" s="20" t="inlineStr">
        <is>
          <t>N/A</t>
        </is>
      </c>
      <c r="R25" s="32" t="inlineStr">
        <is>
          <t>Pre-FID</t>
        </is>
      </c>
      <c r="S25" s="21" t="inlineStr">
        <is>
          <t>Romsons Group Private Limited</t>
        </is>
      </c>
      <c r="T25" s="21" t="inlineStr">
        <is>
          <t>Industrial Entrepreneur Memorandum (IEM) filed for annual capacity 2,930.00 lakh pcs (= 293 million pieces/year) at Agra. ProjectX (Jun 2022 / sourced Apr 2022 edition) stage: Conceptual/Planning; estimated project value N/A. Subsequent Jewar MDP commitment suggests Agra greenfield expansion constrained by TTZ — retain as disclosed pipeline with Pre-FID / possibly deferred status. Capacity value 293000000 pieces/year.</t>
        </is>
      </c>
      <c r="U25" s="21" t="inlineStr">
        <is>
          <t>https://projectxindia.com/2022/06/05/unit-to-manufacture-instruments-appliances-used-in-surgical-medical-at-agra/</t>
        </is>
      </c>
      <c r="V25" s="29" t="inlineStr">
        <is>
          <t>Tier 3 — Supporting</t>
        </is>
      </c>
    </row>
    <row r="27">
      <c r="A27" s="18" t="inlineStr">
        <is>
          <t>Compiled from public disclosures. For reference purposes only. | Romsons Group Private Limited Physical Assets Report | Generated 2026-10-23</t>
        </is>
      </c>
    </row>
  </sheetData>
  <autoFilter ref="A4:V25"/>
  <mergeCells count="3">
    <mergeCell ref="A2:V2"/>
    <mergeCell ref="A1:V1"/>
    <mergeCell ref="A27:V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5" customWidth="1" min="3" max="3"/>
    <col width="20" customWidth="1" min="4" max="4"/>
    <col width="16" customWidth="1" min="5" max="5"/>
    <col width="16" customWidth="1" min="6" max="6"/>
    <col width="35" customWidth="1" min="7" max="7"/>
    <col width="50" customWidth="1" min="8" max="8"/>
    <col width="22" customWidth="1" min="9" max="9"/>
    <col width="35" customWidth="1" min="10" max="10"/>
  </cols>
  <sheetData>
    <row r="1">
      <c r="A1" s="19" t="inlineStr">
        <is>
          <t>Romsons Group Private Limited — Source Documents &amp; Web Pages</t>
        </is>
      </c>
    </row>
    <row r="2">
      <c r="A2" s="2" t="inlineStr">
        <is>
          <t>Every filing and website page consulted during research</t>
        </is>
      </c>
    </row>
    <row r="4">
      <c r="A4" s="6" t="inlineStr">
        <is>
          <t>#</t>
        </is>
      </c>
      <c r="B4" s="6" t="inlineStr">
        <is>
          <t>Document Title</t>
        </is>
      </c>
      <c r="C4" s="6" t="inlineStr">
        <is>
          <t>Document Type</t>
        </is>
      </c>
      <c r="D4" s="6" t="inlineStr">
        <is>
          <t>Publisher</t>
        </is>
      </c>
      <c r="E4" s="6" t="inlineStr">
        <is>
          <t>Publication Date</t>
        </is>
      </c>
      <c r="F4" s="6" t="inlineStr">
        <is>
          <t>Fiscal Period Covered</t>
        </is>
      </c>
      <c r="G4" s="6" t="inlineStr">
        <is>
          <t>Key Sections for Physical Assets</t>
        </is>
      </c>
      <c r="H4" s="6" t="inlineStr">
        <is>
          <t>Access URL</t>
        </is>
      </c>
      <c r="I4" s="6" t="inlineStr">
        <is>
          <t>Access Status</t>
        </is>
      </c>
      <c r="J4" s="6" t="inlineStr">
        <is>
          <t>Notes</t>
        </is>
      </c>
    </row>
    <row r="5">
      <c r="A5" s="20" t="n">
        <v>1</v>
      </c>
      <c r="B5" s="21" t="inlineStr">
        <is>
          <t>Romsons — Homepage</t>
        </is>
      </c>
      <c r="C5" s="20" t="inlineStr">
        <is>
          <t>Company Website — Other</t>
        </is>
      </c>
      <c r="D5" s="20" t="inlineStr">
        <is>
          <t>Romsons Group</t>
        </is>
      </c>
      <c r="E5" s="20" t="inlineStr">
        <is>
          <t>2026-10-23</t>
        </is>
      </c>
      <c r="F5" s="20" t="inlineStr">
        <is>
          <t>Current</t>
        </is>
      </c>
      <c r="G5" s="21" t="inlineStr">
        <is>
          <t>About teaser; product category navigation (Anesthesia, Surgery, Urology, Transfusion, Cardiac, Gastroenterology, Ortho Care, Patient Care); footer registered location Nunhai Agra</t>
        </is>
      </c>
      <c r="H5" s="33" t="inlineStr">
        <is>
          <t>https://romsons.com/</t>
        </is>
      </c>
      <c r="I5" s="20" t="inlineStr">
        <is>
          <t>Partial Access — JS-rendered counters/content partially loaded; static address &amp; product categories captured</t>
        </is>
      </c>
      <c r="J5" s="21" t="inlineStr">
        <is>
          <t>Primary Track B entry point</t>
        </is>
      </c>
    </row>
    <row r="6">
      <c r="A6" s="25" t="n">
        <v>2</v>
      </c>
      <c r="B6" s="26" t="inlineStr">
        <is>
          <t>Romsons — About Us (main site)</t>
        </is>
      </c>
      <c r="C6" s="25" t="inlineStr">
        <is>
          <t>Company Website — Other</t>
        </is>
      </c>
      <c r="D6" s="25" t="inlineStr">
        <is>
          <t>Romsons Group</t>
        </is>
      </c>
      <c r="E6" s="25" t="inlineStr">
        <is>
          <t>2026-10-23</t>
        </is>
      </c>
      <c r="F6" s="25" t="inlineStr">
        <is>
          <t>Current</t>
        </is>
      </c>
      <c r="G6" s="26" t="inlineStr">
        <is>
          <t>Global presence; quality assured; footer location</t>
        </is>
      </c>
      <c r="H6" s="34" t="inlineStr">
        <is>
          <t>https://romsons.com/about-us/</t>
        </is>
      </c>
      <c r="I6" s="25" t="inlineStr">
        <is>
          <t>Partial Access — heavy JS; limited narrative text extracted</t>
        </is>
      </c>
      <c r="J6" s="26" t="inlineStr">
        <is>
          <t>Supplement with html.romsons.net.in About pages for history/facilities</t>
        </is>
      </c>
    </row>
    <row r="7">
      <c r="A7" s="20" t="n">
        <v>3</v>
      </c>
      <c r="B7" s="21" t="inlineStr">
        <is>
          <t>Romsons — Quality Control</t>
        </is>
      </c>
      <c r="C7" s="20" t="inlineStr">
        <is>
          <t>Company Website — Other</t>
        </is>
      </c>
      <c r="D7" s="20" t="inlineStr">
        <is>
          <t>Romsons Group</t>
        </is>
      </c>
      <c r="E7" s="20" t="inlineStr">
        <is>
          <t>2026-10-23</t>
        </is>
      </c>
      <c r="F7" s="20" t="inlineStr">
        <is>
          <t>Current</t>
        </is>
      </c>
      <c r="G7" s="21" t="inlineStr">
        <is>
          <t>ISO 9001 / ISO 13485 / MDD 93/42/EEC; multi-stage QC process</t>
        </is>
      </c>
      <c r="H7" s="33" t="inlineStr">
        <is>
          <t>https://romsons.com/Quality/</t>
        </is>
      </c>
      <c r="I7" s="20" t="inlineStr">
        <is>
          <t>Full Access</t>
        </is>
      </c>
      <c r="J7" s="21" t="inlineStr">
        <is>
          <t>No named plant list; quality system description</t>
        </is>
      </c>
    </row>
    <row r="8">
      <c r="A8" s="25" t="n">
        <v>4</v>
      </c>
      <c r="B8" s="26" t="inlineStr">
        <is>
          <t>Romsons — Product List</t>
        </is>
      </c>
      <c r="C8" s="25" t="inlineStr">
        <is>
          <t>Company Website — Products</t>
        </is>
      </c>
      <c r="D8" s="25" t="inlineStr">
        <is>
          <t>Romsons Group</t>
        </is>
      </c>
      <c r="E8" s="25" t="inlineStr">
        <is>
          <t>2026-10-23</t>
        </is>
      </c>
      <c r="F8" s="25" t="inlineStr">
        <is>
          <t>Current</t>
        </is>
      </c>
      <c r="G8" s="26" t="inlineStr">
        <is>
          <t>Product categories; footer works address</t>
        </is>
      </c>
      <c r="H8" s="34" t="inlineStr">
        <is>
          <t>https://romsons.com/product-list/</t>
        </is>
      </c>
      <c r="I8" s="25" t="inlineStr">
        <is>
          <t>Partial Access</t>
        </is>
      </c>
      <c r="J8" s="26" t="inlineStr">
        <is>
          <t>Confirms Nunhai works address in footer</t>
        </is>
      </c>
    </row>
    <row r="9">
      <c r="A9" s="20" t="n">
        <v>5</v>
      </c>
      <c r="B9" s="21" t="inlineStr">
        <is>
          <t>Romsons International — About Us (history, plants, GMP, sterilization)</t>
        </is>
      </c>
      <c r="C9" s="20" t="inlineStr">
        <is>
          <t>Company Website — Operations</t>
        </is>
      </c>
      <c r="D9" s="20" t="inlineStr">
        <is>
          <t>Romsons Group / Romsons International</t>
        </is>
      </c>
      <c r="E9" s="20" t="inlineStr">
        <is>
          <t>2026-10-23</t>
        </is>
      </c>
      <c r="F9" s="20" t="inlineStr">
        <is>
          <t>Current</t>
        </is>
      </c>
      <c r="G9" s="21" t="inlineStr">
        <is>
          <t>Timeline 1952–2014; group companies; Manufacturing Plant; Packaging &amp; Sterilization; R&amp;D; contact Noida SEZ</t>
        </is>
      </c>
      <c r="H9" s="33" t="inlineStr">
        <is>
          <t>https://html.romsons.net.in/international/about.html</t>
        </is>
      </c>
      <c r="I9" s="20" t="inlineStr">
        <is>
          <t>Full Access</t>
        </is>
      </c>
      <c r="J9" s="21" t="inlineStr">
        <is>
          <t>Primary narrative source for Unit II Noida (2009/2013), RGI Meditech (2014), EO sterilization, group entity list</t>
        </is>
      </c>
    </row>
    <row r="10">
      <c r="A10" s="25" t="n">
        <v>6</v>
      </c>
      <c r="B10" s="26" t="inlineStr">
        <is>
          <t>Romsons International — Contact Us</t>
        </is>
      </c>
      <c r="C10" s="25" t="inlineStr">
        <is>
          <t>Company Website — Other</t>
        </is>
      </c>
      <c r="D10" s="25" t="inlineStr">
        <is>
          <t>Romsons Group / Romsons International</t>
        </is>
      </c>
      <c r="E10" s="25" t="inlineStr">
        <is>
          <t>2026-10-23</t>
        </is>
      </c>
      <c r="F10" s="25" t="inlineStr">
        <is>
          <t>Current</t>
        </is>
      </c>
      <c r="G10" s="26" t="inlineStr">
        <is>
          <t>Office &amp; Works NSEZ address; Sales &amp; Marketing East Patel Nagar</t>
        </is>
      </c>
      <c r="H10" s="34" t="inlineStr">
        <is>
          <t>https://html.romsons.net.in/international/contact.html</t>
        </is>
      </c>
      <c r="I10" s="25" t="inlineStr">
        <is>
          <t>Full Access</t>
        </is>
      </c>
      <c r="J10" s="26" t="inlineStr">
        <is>
          <t>Confirms 59J(C) NSEZ and Delhi corporate office</t>
        </is>
      </c>
    </row>
    <row r="11">
      <c r="A11" s="20" t="n">
        <v>7</v>
      </c>
      <c r="B11" s="21" t="inlineStr">
        <is>
          <t>Romsons Domestic — About Us (Pan-India network)</t>
        </is>
      </c>
      <c r="C11" s="20" t="inlineStr">
        <is>
          <t>Company Website — Operations</t>
        </is>
      </c>
      <c r="D11" s="20" t="inlineStr">
        <is>
          <t>Romsons Group</t>
        </is>
      </c>
      <c r="E11" s="20" t="inlineStr">
        <is>
          <t>2026-10-23</t>
        </is>
      </c>
      <c r="F11" s="20" t="inlineStr">
        <is>
          <t>Current</t>
        </is>
      </c>
      <c r="G11" s="21" t="inlineStr">
        <is>
          <t>History; group companies; Our Network — state-capital warehouses; offices Delhi/Mumbai/Pune/Jaipur/Agra</t>
        </is>
      </c>
      <c r="H11" s="33" t="inlineStr">
        <is>
          <t>https://html.romsons.net.in/domestic/about.html</t>
        </is>
      </c>
      <c r="I11" s="20" t="inlineStr">
        <is>
          <t>Full Access</t>
        </is>
      </c>
      <c r="J11" s="21" t="inlineStr">
        <is>
          <t>Key source for distribution network disclosure</t>
        </is>
      </c>
    </row>
    <row r="12">
      <c r="A12" s="25" t="n">
        <v>8</v>
      </c>
      <c r="B12" s="26" t="inlineStr">
        <is>
          <t>Romsons Domestic — Contact Us</t>
        </is>
      </c>
      <c r="C12" s="25" t="inlineStr">
        <is>
          <t>Company Website — Other</t>
        </is>
      </c>
      <c r="D12" s="25" t="inlineStr">
        <is>
          <t>Romsons Group</t>
        </is>
      </c>
      <c r="E12" s="25" t="inlineStr">
        <is>
          <t>2026-10-23</t>
        </is>
      </c>
      <c r="F12" s="25" t="inlineStr">
        <is>
          <t>Current</t>
        </is>
      </c>
      <c r="G12" s="26" t="inlineStr">
        <is>
          <t>Office &amp; Works Nunhai Agra; Sales &amp; Marketing Delhi</t>
        </is>
      </c>
      <c r="H12" s="34" t="inlineStr">
        <is>
          <t>https://html.romsons.net.in/domestic/contact.html</t>
        </is>
      </c>
      <c r="I12" s="25" t="inlineStr">
        <is>
          <t>Full Access</t>
        </is>
      </c>
      <c r="J12" s="26" t="inlineStr">
        <is>
          <t>N/A</t>
        </is>
      </c>
    </row>
    <row r="13">
      <c r="A13" s="20" t="n">
        <v>9</v>
      </c>
      <c r="B13" s="21" t="inlineStr">
        <is>
          <t>Romsons.in — About Us (consumer site)</t>
        </is>
      </c>
      <c r="C13" s="20" t="inlineStr">
        <is>
          <t>Company Website — Other</t>
        </is>
      </c>
      <c r="D13" s="20" t="inlineStr">
        <is>
          <t>Romsons Prime / Romsons Group</t>
        </is>
      </c>
      <c r="E13" s="20" t="inlineStr">
        <is>
          <t>2026-10-23</t>
        </is>
      </c>
      <c r="F13" s="20" t="inlineStr">
        <is>
          <t>Current</t>
        </is>
      </c>
      <c r="G13" s="21" t="inlineStr">
        <is>
          <t>Company overview; INR 14 bn turnover claim; warehousing hubs (list not rendered); exports 75+ countries; Romsons Prime address</t>
        </is>
      </c>
      <c r="H13" s="33" t="inlineStr">
        <is>
          <t>https://www.romsons.in/pages/about-us</t>
        </is>
      </c>
      <c r="I13" s="20" t="inlineStr">
        <is>
          <t>Partial Access — warehouse city list empty in static fetch (likely JS/CMS)</t>
        </is>
      </c>
      <c r="J13" s="21" t="inlineStr">
        <is>
          <t>Also fetched URL variant with trailing space encoding</t>
        </is>
      </c>
    </row>
    <row r="14">
      <c r="A14" s="25" t="n">
        <v>10</v>
      </c>
      <c r="B14" s="26" t="inlineStr">
        <is>
          <t>All About Romsons — Blog history &amp; DSIR R&amp;D</t>
        </is>
      </c>
      <c r="C14" s="25" t="inlineStr">
        <is>
          <t>Company Website — Other</t>
        </is>
      </c>
      <c r="D14" s="25" t="inlineStr">
        <is>
          <t>Romsons Prime / Romsons Group</t>
        </is>
      </c>
      <c r="E14" s="25" t="inlineStr">
        <is>
          <t>2020-01-04</t>
        </is>
      </c>
      <c r="F14" s="25" t="inlineStr">
        <is>
          <t>Current (historical narrative; DSIR 2018)</t>
        </is>
      </c>
      <c r="G14" s="26" t="inlineStr">
        <is>
          <t>Full group history; RGI Meditech; DSIR R&amp;D recognition 2018</t>
        </is>
      </c>
      <c r="H14" s="34" t="inlineStr">
        <is>
          <t>https://www.romsons.in/blogs/post/all-about-romsons</t>
        </is>
      </c>
      <c r="I14" s="25" t="inlineStr">
        <is>
          <t>Full Access</t>
        </is>
      </c>
      <c r="J14" s="26" t="inlineStr">
        <is>
          <t>Accessed 2026-10-23</t>
        </is>
      </c>
    </row>
    <row r="15">
      <c r="A15" s="20" t="n">
        <v>11</v>
      </c>
      <c r="B15" s="21" t="inlineStr">
        <is>
          <t>Romsons.in product pages — Plant-2 / Plant-4 / Plant-5 / Plant-7 manufacturer addresses</t>
        </is>
      </c>
      <c r="C15" s="20" t="inlineStr">
        <is>
          <t>Company Website — Products</t>
        </is>
      </c>
      <c r="D15" s="20" t="inlineStr">
        <is>
          <t>Romsons Prime / Romsons Group</t>
        </is>
      </c>
      <c r="E15" s="20" t="inlineStr">
        <is>
          <t>2026-10-23</t>
        </is>
      </c>
      <c r="F15" s="20" t="inlineStr">
        <is>
          <t>Current</t>
        </is>
      </c>
      <c r="G15" s="21" t="inlineStr">
        <is>
          <t>Manufacturer Name &amp; Address; Mfg licence numbers</t>
        </is>
      </c>
      <c r="H15" s="33" t="inlineStr">
        <is>
          <t>https://www.romsons.in/products/</t>
        </is>
      </c>
      <c r="I15" s="20" t="inlineStr">
        <is>
          <t>Full Access</t>
        </is>
      </c>
      <c r="J15" s="21" t="inlineStr">
        <is>
          <t>Sampled: rms-vented-infusion-set-ss-3060; romo-jet-syringe; romo-vente-bain-circuit-adult; romo-10 urine bag; cervical-pillow-contoured; intra-cath; feedy</t>
        </is>
      </c>
    </row>
    <row r="16">
      <c r="A16" s="25" t="n">
        <v>12</v>
      </c>
      <c r="B16" s="26" t="inlineStr">
        <is>
          <t>Romsons Product Catalogue GS-160</t>
        </is>
      </c>
      <c r="C16" s="25" t="inlineStr">
        <is>
          <t>Company Website — Other</t>
        </is>
      </c>
      <c r="D16" s="25" t="inlineStr">
        <is>
          <t>Romsons Group</t>
        </is>
      </c>
      <c r="E16" s="25" t="inlineStr">
        <is>
          <t>N/A</t>
        </is>
      </c>
      <c r="F16" s="25" t="inlineStr">
        <is>
          <t>Current</t>
        </is>
      </c>
      <c r="G16" s="26" t="inlineStr">
        <is>
          <t>GMP; Manufacturing Plant; Packaging &amp; Sterilization (EO / ISO 11135); CE certificate for Romsons Scientific &amp; Surgical Industries Pvt. Ltd. Nunhai; office addresses</t>
        </is>
      </c>
      <c r="H16" s="34" t="inlineStr">
        <is>
          <t>https://fq2sxzhe4lzz0ggs.public.blob.vercel-storage.com/catalogue-pdfs/ROMSONS.pdf</t>
        </is>
      </c>
      <c r="I16" s="25" t="inlineStr">
        <is>
          <t>Full Access</t>
        </is>
      </c>
      <c r="J16" s="26" t="inlineStr">
        <is>
          <t>Third-party hosted catalogue PDF</t>
        </is>
      </c>
    </row>
    <row r="17">
      <c r="A17" s="20" t="n">
        <v>13</v>
      </c>
      <c r="B17" s="21" t="inlineStr">
        <is>
          <t>USFDA Establishment Registration — ROMSONS INTERNATIONAL Unit-II</t>
        </is>
      </c>
      <c r="C17" s="20" t="inlineStr">
        <is>
          <t>Regulatory Filing</t>
        </is>
      </c>
      <c r="D17" s="20" t="inlineStr">
        <is>
          <t>U.S. Food &amp; Drug Administration (CDRH)</t>
        </is>
      </c>
      <c r="E17" s="20" t="inlineStr">
        <is>
          <t>2026</t>
        </is>
      </c>
      <c r="F17" s="20" t="inlineStr">
        <is>
          <t>Current</t>
        </is>
      </c>
      <c r="G17" s="21" t="inlineStr">
        <is>
          <t>Establishment address 59J(C) &amp; 9 NSEZ; Registration 9613418; FEI 3001044237; Owner/Operator</t>
        </is>
      </c>
      <c r="H17" s="33" t="inlineStr">
        <is>
          <t>https://www.accessdata.fda.gov/scripts/cdrh/cfdocs/cfRL/rl.cfm?rid=57660</t>
        </is>
      </c>
      <c r="I17" s="20" t="inlineStr">
        <is>
          <t>Full Access</t>
        </is>
      </c>
      <c r="J17" s="21" t="inlineStr">
        <is>
          <t>Confirms active USFDA registration for Noida export plant</t>
        </is>
      </c>
    </row>
    <row r="18">
      <c r="A18" s="25" t="n">
        <v>14</v>
      </c>
      <c r="B18" s="26" t="inlineStr">
        <is>
          <t>GSTIN 09AAACR5839H1Z4 — Additional Places of Business (Agra / Noida)</t>
        </is>
      </c>
      <c r="C18" s="25" t="inlineStr">
        <is>
          <t>Regulatory Filing</t>
        </is>
      </c>
      <c r="D18" s="25" t="inlineStr">
        <is>
          <t>GSTN (via TaxAdda / GSTVerify aggregators)</t>
        </is>
      </c>
      <c r="E18" s="25" t="inlineStr">
        <is>
          <t>2025-05-21</t>
        </is>
      </c>
      <c r="F18" s="25" t="inlineStr">
        <is>
          <t>Current</t>
        </is>
      </c>
      <c r="G18" s="26" t="inlineStr">
        <is>
          <t>Principal Nunhai address; 11 APOBs including Foundry Nagar Plants, Noida Sector 63, Nawalpur</t>
        </is>
      </c>
      <c r="H18" s="34" t="inlineStr">
        <is>
          <t>https://calculator.taxadda.com/gstin-details/ROMSONS_GROUP_PRIVATE_LIMITED-09AAACR5839H1Z4-bihob3cgxnhm6yz</t>
        </is>
      </c>
      <c r="I18" s="25" t="inlineStr">
        <is>
          <t>Partial Access — one APOB address truncated in public HTML ('Khasra No. 174…')</t>
        </is>
      </c>
      <c r="J18" s="26" t="inlineStr">
        <is>
          <t>Primary source for named Agra/Noida manufacturing parcels beyond website</t>
        </is>
      </c>
    </row>
    <row r="19">
      <c r="A19" s="20" t="n">
        <v>15</v>
      </c>
      <c r="B19" s="21" t="inlineStr">
        <is>
          <t>GSTIN 03AAACR5839H1ZG — Punjab / Mohali Plant-7</t>
        </is>
      </c>
      <c r="C19" s="20" t="inlineStr">
        <is>
          <t>Regulatory Filing</t>
        </is>
      </c>
      <c r="D19" s="20" t="inlineStr">
        <is>
          <t>GSTN (via Jamku)</t>
        </is>
      </c>
      <c r="E19" s="20" t="inlineStr">
        <is>
          <t>2023-05-23</t>
        </is>
      </c>
      <c r="F19" s="20" t="inlineStr">
        <is>
          <t>Current</t>
        </is>
      </c>
      <c r="G19" s="21" t="inlineStr">
        <is>
          <t>Plot E-243 Phase VIII-B Industrial Focal Point Mohali; Factory/Manufacturing activities</t>
        </is>
      </c>
      <c r="H19" s="33" t="inlineStr">
        <is>
          <t>https://gst.jamku.app/gstin/03AAACR5839H1ZG</t>
        </is>
      </c>
      <c r="I19" s="20" t="inlineStr">
        <is>
          <t>Full Access</t>
        </is>
      </c>
      <c r="J19" s="21" t="inlineStr">
        <is>
          <t>Corroborates Plant-7 product label address</t>
        </is>
      </c>
    </row>
    <row r="20">
      <c r="A20" s="25" t="n">
        <v>16</v>
      </c>
      <c r="B20" s="26" t="inlineStr">
        <is>
          <t>NCLT Allahabad — Scheme of Amalgamation R.G.I. Meditech with Romsons Group (CA(CAA) 32/ALD/2023)</t>
        </is>
      </c>
      <c r="C20" s="25" t="inlineStr">
        <is>
          <t>Regulatory Filing</t>
        </is>
      </c>
      <c r="D20" s="25" t="inlineStr">
        <is>
          <t>National Company Law Tribunal, Allahabad Bench</t>
        </is>
      </c>
      <c r="E20" s="25" t="inlineStr">
        <is>
          <t>2024-04-18</t>
        </is>
      </c>
      <c r="F20" s="25" t="inlineStr">
        <is>
          <t>FY2024</t>
        </is>
      </c>
      <c r="G20" s="26" t="inlineStr">
        <is>
          <t>Transferor registered office J-31 Sector-63 Noida; Transferee 63 Industrial Estate Nunhai Agra; business objects; first-motion order</t>
        </is>
      </c>
      <c r="H20" s="34" t="inlineStr">
        <is>
          <t>https://nclt.gov.in/gen_pdf.php?filepath=%2FEfile_Document%2Fncltdoc%2Fcasedoc%2F0902109024752023%2F04%2FOrder-Challenge%2F04_order-Challange_004_17137639233158753746625f6537e4b8.pdf</t>
        </is>
      </c>
      <c r="I20" s="25" t="inlineStr">
        <is>
          <t>Full Access</t>
        </is>
      </c>
      <c r="J20" s="26" t="inlineStr">
        <is>
          <t>Confirms RGI Meditech consolidation into Romsons Group</t>
        </is>
      </c>
    </row>
    <row r="21">
      <c r="A21" s="20" t="n">
        <v>17</v>
      </c>
      <c r="B21" s="21" t="inlineStr">
        <is>
          <t>Tofler — Romsons Group Private Limited Company Profile &amp; Financials</t>
        </is>
      </c>
      <c r="C21" s="20" t="inlineStr">
        <is>
          <t>Other</t>
        </is>
      </c>
      <c r="D21" s="20" t="inlineStr">
        <is>
          <t>Tofler (MCA data aggregator)</t>
        </is>
      </c>
      <c r="E21" s="20" t="inlineStr">
        <is>
          <t>2026-10-23</t>
        </is>
      </c>
      <c r="F21" s="20" t="inlineStr">
        <is>
          <t>FY2025</t>
        </is>
      </c>
      <c r="G21" s="21" t="inlineStr">
        <is>
          <t>Revenue band ₹1250–1500 Cr; YoY changes Assets +27.36%, Networth +33.23%, EBITDA +19.42%; CIN; AGM 24 Oct 2025</t>
        </is>
      </c>
      <c r="H21" s="33" t="inlineStr">
        <is>
          <t>https://www.tofler.in/romsons-group-private-limited/company/U24236UP1977PTC004511</t>
        </is>
      </c>
      <c r="I21" s="20" t="inlineStr">
        <is>
          <t>Access Limited — paywall (Tofler Pro) for exact balance sheet / PP&amp;E</t>
        </is>
      </c>
      <c r="J21" s="21" t="inlineStr">
        <is>
          <t>Used for banded FY2025 metrics and growth rates only</t>
        </is>
      </c>
    </row>
    <row r="22">
      <c r="A22" s="25" t="n">
        <v>18</v>
      </c>
      <c r="B22" s="26" t="inlineStr">
        <is>
          <t>Infyner / Tracxn / InstaFinancials — MCA company snapshots</t>
        </is>
      </c>
      <c r="C22" s="25" t="inlineStr">
        <is>
          <t>Other</t>
        </is>
      </c>
      <c r="D22" s="25" t="inlineStr">
        <is>
          <t>Infyner; Tracxn; InstaFinancials</t>
        </is>
      </c>
      <c r="E22" s="25" t="inlineStr">
        <is>
          <t>2026-10-23</t>
        </is>
      </c>
      <c r="F22" s="25" t="inlineStr">
        <is>
          <t>FY2025</t>
        </is>
      </c>
      <c r="G22" s="26" t="inlineStr">
        <is>
          <t>CIN; registered address; paid-up capital; employee counts; revenue/profit/asset bands; balance sheet date 31 Mar 2025</t>
        </is>
      </c>
      <c r="H22" s="34" t="inlineStr">
        <is>
          <t>https://www.infyner.com/company/romsons-group-private-limited/U24236UP1977PTC004511</t>
        </is>
      </c>
      <c r="I22" s="25" t="inlineStr">
        <is>
          <t>Partial Access — exact AOC-4 figures locked</t>
        </is>
      </c>
      <c r="J22" s="26" t="inlineStr">
        <is>
          <t>Also https://tracxn.com/d/legal-entities/india/romsons-group-private-limited/__p2XuGYBeAR82FHn5N7sbgVETXvXOo2i3kvqGTUPk6NU and InstaFinancials CIN page</t>
        </is>
      </c>
    </row>
    <row r="23">
      <c r="A23" s="20" t="n">
        <v>19</v>
      </c>
      <c r="B23" s="21" t="inlineStr">
        <is>
          <t>Mint — Temasek joins PE giants in bidding war for minority stake in Romsons Group</t>
        </is>
      </c>
      <c r="C23" s="20" t="inlineStr">
        <is>
          <t>Press Release</t>
        </is>
      </c>
      <c r="D23" s="20" t="inlineStr">
        <is>
          <t>Mint / HT Media</t>
        </is>
      </c>
      <c r="E23" s="20" t="inlineStr">
        <is>
          <t>2025-10-02</t>
        </is>
      </c>
      <c r="F23" s="20" t="inlineStr">
        <is>
          <t>FY2024</t>
        </is>
      </c>
      <c r="G23" s="21" t="inlineStr">
        <is>
          <t>FY24 total income ₹875.09 Cr; FY23 ₹834.94 Cr; FY24 net profit ₹140 Cr; FY23 ₹115 Cr; PE process valuation context</t>
        </is>
      </c>
      <c r="H23" s="33" t="inlineStr">
        <is>
          <t>https://www.livemint.com/companies/news/temasek-romsons-medical-devices-investment-india-private-equity-healthcare-medtech-market-11759397626885.html</t>
        </is>
      </c>
      <c r="I23" s="20" t="inlineStr">
        <is>
          <t>Full Access</t>
        </is>
      </c>
      <c r="J23" s="21" t="inlineStr">
        <is>
          <t>Best free source for exact FY24 P&amp;L headline figures (via Tofler MCA)</t>
        </is>
      </c>
    </row>
    <row r="24">
      <c r="A24" s="25" t="n">
        <v>20</v>
      </c>
      <c r="B24" s="26" t="inlineStr">
        <is>
          <t>ProjectX India — IEM Agra instruments &amp; appliances unit</t>
        </is>
      </c>
      <c r="C24" s="25" t="inlineStr">
        <is>
          <t>Other</t>
        </is>
      </c>
      <c r="D24" s="25" t="inlineStr">
        <is>
          <t>ProjectX India</t>
        </is>
      </c>
      <c r="E24" s="25" t="inlineStr">
        <is>
          <t>2022-06-05</t>
        </is>
      </c>
      <c r="F24" s="25" t="inlineStr">
        <is>
          <t>FY2022</t>
        </is>
      </c>
      <c r="G24" s="26" t="inlineStr">
        <is>
          <t>IEM capacity 2930 lakh pcs; Agra location; Conceptual/Planning stage</t>
        </is>
      </c>
      <c r="H24" s="34" t="inlineStr">
        <is>
          <t>https://projectxindia.com/2022/06/05/unit-to-manufacture-instruments-appliances-used-in-surgical-medical-at-agra/</t>
        </is>
      </c>
      <c r="I24" s="25" t="inlineStr">
        <is>
          <t>Full Access</t>
        </is>
      </c>
      <c r="J24" s="26" t="inlineStr">
        <is>
          <t>Pipeline / Pre-FID project</t>
        </is>
      </c>
    </row>
    <row r="25">
      <c r="A25" s="20" t="n">
        <v>21</v>
      </c>
      <c r="B25" s="21" t="inlineStr">
        <is>
          <t>Times of India / India Infra Hub — YEIDA Medical Device Park allotments</t>
        </is>
      </c>
      <c r="C25" s="20" t="inlineStr">
        <is>
          <t>Press Release</t>
        </is>
      </c>
      <c r="D25" s="20" t="inlineStr">
        <is>
          <t>Times of India; India Infra Hub</t>
        </is>
      </c>
      <c r="E25" s="20" t="inlineStr">
        <is>
          <t>2022</t>
        </is>
      </c>
      <c r="F25" s="20" t="inlineStr">
        <is>
          <t>Current</t>
        </is>
      </c>
      <c r="G25" s="21" t="inlineStr">
        <is>
          <t>Romsons Group among Sector 28 MDP allottees; anaesthesia needle &amp; kit unit ~₹15 Cr / 4,000 sqm context</t>
        </is>
      </c>
      <c r="H25" s="33" t="inlineStr">
        <is>
          <t>https://timesofindia.indiatimes.com/city/noida/37-firms-get-med-park-plots-to-invest-550cr/articleshow/93064731.cms</t>
        </is>
      </c>
      <c r="I25" s="20" t="inlineStr">
        <is>
          <t>Full Access</t>
        </is>
      </c>
      <c r="J25" s="21" t="inlineStr">
        <is>
          <t>Also https://indiainfrahub.com/featured/ups-first-medical-device-park-26-allottees-receive-nod-to-establish-their-units-at-sector-28-in-yeida-region/</t>
        </is>
      </c>
    </row>
    <row r="26">
      <c r="A26" s="25" t="n">
        <v>22</v>
      </c>
      <c r="B26" s="26" t="inlineStr">
        <is>
          <t>Agraleaks — Romsons ₹100 Cr Jewar Medical Device Park factory MoU</t>
        </is>
      </c>
      <c r="C26" s="25" t="inlineStr">
        <is>
          <t>Press Release</t>
        </is>
      </c>
      <c r="D26" s="25" t="inlineStr">
        <is>
          <t>Agraleaks</t>
        </is>
      </c>
      <c r="E26" s="25" t="inlineStr">
        <is>
          <t>2026-02-04</t>
        </is>
      </c>
      <c r="F26" s="25" t="inlineStr">
        <is>
          <t>Current</t>
        </is>
      </c>
      <c r="G26" s="26" t="inlineStr">
        <is>
          <t>₹100 Cr investment proposal signed at Lucknow Pharma Conclave for Jewar MDP factory; Agra TTZ land constraint narrative</t>
        </is>
      </c>
      <c r="H26" s="34" t="inlineStr">
        <is>
          <t>https://agraleaks.com/agra-news-romsons-invest-rs-100-crore-in-jewar-instead-of-agra-for-new-factory/</t>
        </is>
      </c>
      <c r="I26" s="25" t="inlineStr">
        <is>
          <t>Full Access</t>
        </is>
      </c>
      <c r="J26" s="26" t="inlineStr">
        <is>
          <t>Hindi-language local press; MoU / Announced status — not confirmed FID or construction start</t>
        </is>
      </c>
    </row>
    <row r="28">
      <c r="A28" s="18" t="inlineStr">
        <is>
          <t>Compiled from public disclosures. For reference purposes only. | Romsons Group Private Limited Physical Assets Report | Generated 2026-10-23</t>
        </is>
      </c>
    </row>
  </sheetData>
  <autoFilter ref="A4:J26"/>
  <mergeCells count="3">
    <mergeCell ref="A1:J1"/>
    <mergeCell ref="A28:J28"/>
    <mergeCell ref="A2:J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BC933BCD1A33438CF2387F036E0CBD" ma:contentTypeVersion="15" ma:contentTypeDescription="Create a new document." ma:contentTypeScope="" ma:versionID="45e9248924972c120e6909022fca78ea">
  <xsd:schema xmlns:xsd="http://www.w3.org/2001/XMLSchema" xmlns:xs="http://www.w3.org/2001/XMLSchema" xmlns:p="http://schemas.microsoft.com/office/2006/metadata/properties" xmlns:ns1="http://schemas.microsoft.com/sharepoint/v3" xmlns:ns2="c541c039-171c-4677-a99e-6a275b53e9aa" xmlns:ns3="ec00fb24-7c6c-420b-b121-80382dc877ec" targetNamespace="http://schemas.microsoft.com/office/2006/metadata/properties" ma:root="true" ma:fieldsID="735dd2c80a3b6788626235506fdb520f" ns1:_="" ns2:_="" ns3:_="">
    <xsd:import namespace="http://schemas.microsoft.com/sharepoint/v3"/>
    <xsd:import namespace="c541c039-171c-4677-a99e-6a275b53e9aa"/>
    <xsd:import namespace="ec00fb24-7c6c-420b-b121-80382dc877ec"/>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41c039-171c-4677-a99e-6a275b53e9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bc56409-cc1e-4b4f-b6ba-23d98140628a"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00fb24-7c6c-420b-b121-80382dc877e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c541c039-171c-4677-a99e-6a275b53e9aa">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DF420443-A29B-4B7A-B3DD-714EA5C7EEAF}"/>
</file>

<file path=customXml/itemProps2.xml><?xml version="1.0" encoding="utf-8"?>
<ds:datastoreItem xmlns:ds="http://schemas.openxmlformats.org/officeDocument/2006/customXml" ds:itemID="{5486AA3D-53C5-4B77-AD64-2C2EA5190DE5}"/>
</file>

<file path=customXml/itemProps3.xml><?xml version="1.0" encoding="utf-8"?>
<ds:datastoreItem xmlns:ds="http://schemas.openxmlformats.org/officeDocument/2006/customXml" ds:itemID="{124E58BF-2407-4288-8E79-5812D2DC685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2026-10-23T09:56:54Z</dcterms:created>
  <dcterms:modified xsi:type="dcterms:W3CDTF">2026-10-23T09:56:54Z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0x0101006ABC933BCD1A33438CF2387F036E0CBD</vt:lpwstr>
  </property>
</Properties>
</file>