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xr:revisionPtr revIDLastSave="1" documentId="11_E254CD157B9757993728115D0DE47979E9680E84" xr6:coauthVersionLast="47" xr6:coauthVersionMax="47" xr10:uidLastSave="{97B82D7F-479D-4C80-9181-D3F7270BFCCC}"/>
  <bookViews>
    <workbookView xWindow="0" yWindow="0" windowWidth="0" windowHeight="0" activeTab="1" xr2:uid="{00000000-000D-0000-FFFF-FFFF00000000}"/>
  </bookViews>
  <sheets>
    <sheet name="Profile &amp; Financials" sheetId="1" r:id="rId1"/>
    <sheet name="Assets Register" sheetId="2" r:id="rId2"/>
    <sheet name="Sources" sheetId="3" r:id="rId3"/>
  </sheets>
  <definedNames>
    <definedName name="_xlnm._FilterDatabase" localSheetId="1" hidden="1">'Assets Register'!$A$4:$V$46</definedName>
    <definedName name="_xlnm._FilterDatabase" localSheetId="2" hidden="1">Sources!$A$4:$J$40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1" l="1"/>
  <c r="D36" i="1"/>
  <c r="E35" i="1"/>
  <c r="D35" i="1"/>
  <c r="E34" i="1"/>
  <c r="D34" i="1"/>
  <c r="E33" i="1"/>
  <c r="D33" i="1"/>
  <c r="E32" i="1"/>
  <c r="D32" i="1"/>
  <c r="E31" i="1"/>
  <c r="D31" i="1"/>
  <c r="E30" i="1"/>
  <c r="D30" i="1"/>
  <c r="E29" i="1"/>
  <c r="D29" i="1"/>
  <c r="E28" i="1"/>
  <c r="D28" i="1"/>
  <c r="E27" i="1"/>
  <c r="D27" i="1"/>
  <c r="E26" i="1"/>
  <c r="D26" i="1"/>
  <c r="E25" i="1"/>
  <c r="D25" i="1"/>
  <c r="E24" i="1"/>
  <c r="D24" i="1"/>
  <c r="E23" i="1"/>
  <c r="D23" i="1"/>
</calcChain>
</file>

<file path=xl/sharedStrings.xml><?xml version="1.0" encoding="utf-8"?>
<sst xmlns="http://schemas.openxmlformats.org/spreadsheetml/2006/main" count="1251" uniqueCount="505">
  <si>
    <t>Aligned Data Centers LLC — Physical Assets Report</t>
  </si>
  <si>
    <t>Report generated: 2026-10-23 | Currency: USD</t>
  </si>
  <si>
    <t>Section A — Company Profile</t>
  </si>
  <si>
    <t>Company Name</t>
  </si>
  <si>
    <t>Aligned Data Centers LLC</t>
  </si>
  <si>
    <t>Ticker &amp; Exchange</t>
  </si>
  <si>
    <t>N/A — Private company (100% equity owned by AIP / MGX / BlackRock GIP consortium as of 21 Jul 2026; previously Macquarie Asset Management-managed funds)</t>
  </si>
  <si>
    <t>Sector / Industry</t>
  </si>
  <si>
    <t>Information Technology — Digital Infrastructure / Hyperscale Data Center Operator</t>
  </si>
  <si>
    <t>Country of Incorporation</t>
  </si>
  <si>
    <t>United States</t>
  </si>
  <si>
    <t>Reporting Currency</t>
  </si>
  <si>
    <t>USD</t>
  </si>
  <si>
    <t>Accounting Standard</t>
  </si>
  <si>
    <t>N/A — Private company; no public consolidated FS. US ABS securitization vehicles (Aligned Data Centers Issuer, LLC) report under US securities ABS rules; underlying accounting presumed US GAAP.</t>
  </si>
  <si>
    <t>Fiscal Year End</t>
  </si>
  <si>
    <t>N/A — Not publicly disclosed (ABS statistical cut-offs observed at month-ends e.g. 28 Feb 2026)</t>
  </si>
  <si>
    <t>Primary Operating Segments</t>
  </si>
  <si>
    <t>North America Data Centers (Scale / Gigascale / Build-to-Scale / Multi-Tenant Enterprise); Latin America Data Centers via ODATA, an Aligned Data Centers Company (Brazil, Mexico, Chile, Colombia)</t>
  </si>
  <si>
    <t>Geographic Footprint</t>
  </si>
  <si>
    <t>United States (Texas, Virginia, Maryland, Arizona, Utah, Illinois, Ohio, Georgia, Oregon, Pennsylvania); Brazil (São Paulo, Rio de Janeiro); Mexico (Querétaro / Guanajuato); Chile (Santiago metro); Colombia (Bogotá metro). Homepage markets: Abernathy, Atlanta, Chicago, Dallas, Hillsboro, Maryland, Ohio, Northern Virginia, Phoenix, Salt Lake City; LATAM: Brazil, Chile, Colombia, Mexico.</t>
  </si>
  <si>
    <t>Major Subsidiaries</t>
  </si>
  <si>
    <t>ODATA (an Aligned Data Centers Company) — LATAM platform retained brand post May 2023 acquisition; Aligned Data Centers Issuer, LLC (ABS issuing entity); various PropCo LLCs (e.g. DFW, PDX, EGV, Ashburn entities referenced in permits/ABS)</t>
  </si>
  <si>
    <t>Regulated vs Unregulated</t>
  </si>
  <si>
    <t>Unregulated — commercial hyperscale/wholesale data center leases (not a rate-regulated utility). Subject to local zoning, environmental, and generator permitting.</t>
  </si>
  <si>
    <t>Total Employees</t>
  </si>
  <si>
    <t>N/A — Group headcount not disclosed on company site. Project Phoenix PR cites ~640 permanent FTE for that campus alone at full ops; LinkedIn/third-party headcount estimates vary and are unverified.</t>
  </si>
  <si>
    <t>Recent M&amp;A Activity</t>
  </si>
  <si>
    <t>21 Jul 2026: AIP, MGX and BlackRock’s GIP closed acquisition of 100% equity from Macquarie Asset Management funds and co-investors at ~USD 40B enterprise value; +USD 5B growth capital committed. 15 Oct 2025: transaction announced. 15 Jan 2025: &gt;USD 12B capital raise (&gt;$5B equity / &gt;$7B debt). 22 May 2023: completed acquisition of ODATA (LATAM; terms undisclosed; prior media ~R$10B). 2018: Macquarie-managed funds acquired controlling stake (entry).</t>
  </si>
  <si>
    <t>Report Generated</t>
  </si>
  <si>
    <t>2026-10-23</t>
  </si>
  <si>
    <t>Primary Data Sources</t>
  </si>
  <si>
    <t>aligneddc.com homepage + all regional operations pages; Caprock &amp; Project Phoenix PRs; $40B acquisition close PR; $12B capital raise PR; ODATA acquisition PR; $1.18B ABS PR; SEC ABS-15G/EX-99.1 (Aligned Data Centers Issuer); Macquarie ownership retrospective; Baxtel/DCD for facility MW cross-checks where company omitted critical load</t>
  </si>
  <si>
    <t>Section B — Financial Summary</t>
  </si>
  <si>
    <t>Metric</t>
  </si>
  <si>
    <t>N/A — Private company (USD $mm)</t>
  </si>
  <si>
    <t>N/A</t>
  </si>
  <si>
    <t>Change</t>
  </si>
  <si>
    <t>Change %</t>
  </si>
  <si>
    <t>Source</t>
  </si>
  <si>
    <t>Total Assets</t>
  </si>
  <si>
    <t>N/A — Aligned Data Centers LLC is privately held; no consolidated public balance sheet / 10-K published. ABS-15G filings cover lease collateral pools only, not group Total Assets.</t>
  </si>
  <si>
    <t>PP&amp;E — Net Book Value</t>
  </si>
  <si>
    <t>N/A — Standalone PP&amp;E NBV not publicly disclosed. Closest proxies: (1) Series 2026-1 ABS trust aggregate appraised value ~USD 3.16B for four campus collateral pool (DCD citing S&amp;P pre-sale); (2) Jul 2026 enterprise value ~USD 40B at equity sale close.</t>
  </si>
  <si>
    <t>Enterprise Value (equity transaction)</t>
  </si>
  <si>
    <t>Aligned PR 21 Jul 2026 / 15 Oct 2025 — AIP, MGX and BlackRock GIP acquisition of 100% equity from Macquarie-managed funds implies ~USD 40B enterprise value.</t>
  </si>
  <si>
    <t>ABS Trust — Aggregate Appraised Value (Series 2026-1 collateral)</t>
  </si>
  <si>
    <t>DCD 28 Jul 2026 citing S&amp;P Global Ratings pre-sale — four Aligned campuses (Ashburn VA; Plano TX; Northlake IL) in master trust; aggregate appraised value ~USD 3.16B after removal of three prior trust properties. Not group PP&amp;E.</t>
  </si>
  <si>
    <t>Capital Raise — New Primary Equity</t>
  </si>
  <si>
    <t>Aligned PR 15 Jan 2025 — completed capital raising totaling over USD 5B new primary equity (Macquarie Asset Management funds + global co-investors) and over USD 7B new debt commitments to fund 5+ GW planned capacity.</t>
  </si>
  <si>
    <t>Capital Raise — New Debt Commitments</t>
  </si>
  <si>
    <t>Aligned PR 15 Jan 2025 — over USD 7B new debt commitments as part of &gt;USD 12B total capital raise.</t>
  </si>
  <si>
    <t>Growth Capital Committed at Acquisition Close</t>
  </si>
  <si>
    <t>Aligned PR 21 Jul 2026 — Consortium committed additional USD 5B growth capital at closing to fund continued AI-ready capacity expansion.</t>
  </si>
  <si>
    <t>ABS Issuance — Series 2026-1 Notes</t>
  </si>
  <si>
    <t>Aligned PR 28 Jul 2026 — USD 1.183B Class A-2-I and Class B term ABS notes; upsized ~30% from USD 905M target; backed by four campuses / 14 enterprise customers; &gt;90% AABR from IG counterparties.</t>
  </si>
  <si>
    <t>Portfolio Capacity — Operational + Planned</t>
  </si>
  <si>
    <t>Homepage / Jul 2026 acquisition close PR: 6.4 GW operational and planned capacity across 51 campuses. Earlier 2025 disclosures cited 5+ GW contracted/available / planned future capacity. Macquarie: grew from 85 MW / 2 sites (2018) to 6.4 GW / 51 campuses.</t>
  </si>
  <si>
    <t>Campuses (count)</t>
  </si>
  <si>
    <t>Jul 2026 close PR and homepage: 51 campuses; Oct 2025 acquisition announcement cited 50 campuses. Homepage also cites 87 data centers under management &amp; future development.</t>
  </si>
  <si>
    <t>Data Centers Under Management &amp; Future Development</t>
  </si>
  <si>
    <t>https://aligneddc.com/ — Aligned by the Numbers: 87 data centers under management &amp; future development.</t>
  </si>
  <si>
    <t>Depreciation &amp; Amortisation</t>
  </si>
  <si>
    <t>N/A — Not disclosed in public consolidated financial statements (private company).</t>
  </si>
  <si>
    <t>Revenue</t>
  </si>
  <si>
    <t>N/A — Consolidated revenue not publicly disclosed by Aligned. Third-party estimates exist but are not company filings.</t>
  </si>
  <si>
    <t>Regulatory Rate Base</t>
  </si>
  <si>
    <t>N/A — Not a rate-regulated utility; commercial wholesale/hyperscale data center operator.</t>
  </si>
  <si>
    <t>Section C — PP&amp;E Estimation Note</t>
  </si>
  <si>
    <t>Aligned Data Centers LLC is a privately held US digital-infrastructure platform and does not publish consolidated annual financial statements, PP&amp;E notes, or audited Total Assets. Track A therefore relies on (a) company press releases for capital formation and enterprise value, (b) SEC ABS-15G / KPMG AUP around Aligned Data Centers Issuer, LLC Series 2026-1 lease collateral (24 leases as of 28 Feb 2026; data tape not fully public), and (c) DCD/S&amp;P pre-sale commentary that the Series 2026-1 master-trust collateral (four campuses in Ashburn, Plano, Northlake) has an aggregate appraised value of ~USD 3.16B — a subset proxy only, not group PP&amp;E. Jul 2026 equity sale to AIP/MGX/BlackRock GIP implies ~USD 40B enterprise value. Jan 2025 capital raise: &gt;USD 5B primary equity + &gt;USD 7B debt to fund 5+ GW pipeline; close-related +USD 5B growth capital. Physical asset intensity is best measured by disclosed capacity: homepage/acquisition PR cite 6.4 GW operational+planned across 51 campuses and 87 data centers under management &amp; future development (grew from 85 MW / 2 sites in 2018 under Macquarie). Track B crawled all major aligneddc.com regional operations pages (Dallas, Phoenix, Northern Virginia, Maryland, Salt Lake City, Chicago, Ohio, Atlanta, Hillsboro, Abernathy, Brazil, Mexico, Chile, Colombia), locations hub, gigascale, contact, leadership, and key PRs. Facility-level critical IT load (MW) is often omitted on company pages; where used, MW figures are taken from company PRs first, then reputable industry directories (Baxtel/DCD) that cite operator disclosures — flagged in Notes/Source. Named facilities on the company website are included exhaustively; Caprock (540 MW / 6 buildings) and Project Phoenix (2 GW / 3 buildings) are captured at campus/inaugural-building level. Additional pipeline sites appearing only on secondary aggregators (e.g. Coal City IL, Pataskala OH, Manassas VA, Peru Lurin) were excluded unless corroborated on aligneddc.com or an Aligned press release. Assets register contains 42 rows.</t>
  </si>
  <si>
    <t>Compiled from public disclosures. For reference purposes only. | Aligned Data Centers LLC Physical Assets Report | Generated 2026-10-23</t>
  </si>
  <si>
    <t>Aligned Data Centers LLC — Physical Assets Register</t>
  </si>
  <si>
    <t>All disclosed physical assets from official filings and company website | 2026-10-23</t>
  </si>
  <si>
    <t>#</t>
  </si>
  <si>
    <t>Asset / Facility Name</t>
  </si>
  <si>
    <t>Segment</t>
  </si>
  <si>
    <t>Asset Category</t>
  </si>
  <si>
    <t>Asset Type / Technology</t>
  </si>
  <si>
    <t>City</t>
  </si>
  <si>
    <t>Region / State / Province</t>
  </si>
  <si>
    <t>Country</t>
  </si>
  <si>
    <t>Capacity (Value)</t>
  </si>
  <si>
    <t>Capacity (Unit)</t>
  </si>
  <si>
    <t>Status</t>
  </si>
  <si>
    <t>Year Commissioned</t>
  </si>
  <si>
    <t>Expected In-Service Date</t>
  </si>
  <si>
    <t>Ownership %</t>
  </si>
  <si>
    <t>JV Partner(s)</t>
  </si>
  <si>
    <t>Est. Project Cost</t>
  </si>
  <si>
    <t>Cost Currency</t>
  </si>
  <si>
    <t>FID Status</t>
  </si>
  <si>
    <t>Subsidiary / Holding Entity</t>
  </si>
  <si>
    <t>Notes</t>
  </si>
  <si>
    <t>Criticality ⭐</t>
  </si>
  <si>
    <t>DFW-01 Data Center (Plano Campus)</t>
  </si>
  <si>
    <t>North America — Dallas–Fort Worth</t>
  </si>
  <si>
    <t>Data Centre</t>
  </si>
  <si>
    <t>Hyperscale / wholesale colocation; Delta³ air + DeltaFlow liquid cooling; Tier III design</t>
  </si>
  <si>
    <t>Plano</t>
  </si>
  <si>
    <t>Texas</t>
  </si>
  <si>
    <t>MW critical (full build-out)</t>
  </si>
  <si>
    <t>Active</t>
  </si>
  <si>
    <t>Aligned Data Centers (DFW) PropCo LLC / Aligned Data Centers LLC</t>
  </si>
  <si>
    <t>Flagship 19-acre Plano campus also hosts North American HQ (2800 Summit Ave). Company PR (2019): full build-out 375,000 sq ft / 60 MW; 8 MW expansion announced. Carrier-neutral; 100% renewable power; ExpandOnDemand modular design.</t>
  </si>
  <si>
    <t>https://aligneddc.com/dallas-data-centers/ | https://aligneddc.com/press-release/aligned-energy-expands-its-dallas-data-center-campus/ | https://aligneddc.com/contact/</t>
  </si>
  <si>
    <t>Tier 1 — Core</t>
  </si>
  <si>
    <t>DFW-02 Data Center (Plano Campus)</t>
  </si>
  <si>
    <t>Hyperscale / wholesale colocation; Delta³ + DeltaFlow; Tier III design</t>
  </si>
  <si>
    <t>MW critical</t>
  </si>
  <si>
    <t>Second building on 19-acre Plano campus (2800 Summit Ave). Industry directories cite ~36 MW / ~220,000 sq ft. Same campus as HQ and DFW-01.</t>
  </si>
  <si>
    <t>https://aligneddc.com/dallas-data-centers/ | Baxtel Aligned DFW-02 (capacity cross-check)</t>
  </si>
  <si>
    <t>DFW-03 Data Center (Mansfield)</t>
  </si>
  <si>
    <t>Mansfield</t>
  </si>
  <si>
    <t>27-acre campus at 3801 Britton Rd, Mansfield, TX. Company website lists facility with Tier III design and 100% Uptime SLA. Facility-level MW not disclosed on company page; some industry trackers previously flagged construction phases.</t>
  </si>
  <si>
    <t>https://aligneddc.com/dallas-data-centers/</t>
  </si>
  <si>
    <t>Tier 2 — Important</t>
  </si>
  <si>
    <t>DFW-04 Data Center (Plano North Star)</t>
  </si>
  <si>
    <t>Hyperscale / AI-ready colocation; Delta³ + DeltaFlow; Tier III design</t>
  </si>
  <si>
    <t>44-acre campus at 601 North Star Rd, Plano, TX 75074. Hosts Lambda AI Developer Cloud partnership for NVIDIA Blackwell-ready deployments (company gigascale page). Facility-level MW not disclosed on company page.</t>
  </si>
  <si>
    <t>https://aligneddc.com/dallas-data-centers/ | https://aligneddc.com/gigascale-campuses/</t>
  </si>
  <si>
    <t>Corporate Headquarters — Plano (co-located DFW campus)</t>
  </si>
  <si>
    <t>Corporate</t>
  </si>
  <si>
    <t>Office</t>
  </si>
  <si>
    <t>Corporate HQ offices co-located with data center campus</t>
  </si>
  <si>
    <t>Corporate HQ at 2800 Summit Avenue, Plano, TX 75074 — same address as DFW-01/02 campus. Company confirms HQ remains in Dallas/Plano area after Jul 2026 AIP/MGX/GIP acquisition close.</t>
  </si>
  <si>
    <t>https://aligneddc.com/contact/ | https://aligneddc.com/press-release/aip-mgx-and-blackrocks-gip-close-acquisition-of-aligned-data-centers/</t>
  </si>
  <si>
    <t>Tier 3 — Supporting</t>
  </si>
  <si>
    <t>LBB-01 Data Center — Project Caprock (Abernathy / Hale County)</t>
  </si>
  <si>
    <t>North America — Abernathy / Northwest Texas</t>
  </si>
  <si>
    <t>Gigascale AI/HPC campus; DeltaFlow liquid + closed-loop air-cooled heat rejection</t>
  </si>
  <si>
    <t>Abernathy</t>
  </si>
  <si>
    <t>MW (campus full build-out across 6 facilities)</t>
  </si>
  <si>
    <t>Under Construction</t>
  </si>
  <si>
    <t>Q1 2027 (LBB-01 inaugural building)</t>
  </si>
  <si>
    <t>FID Taken</t>
  </si>
  <si>
    <t>Project Caprock: 540 MW, 313-acre campus; 1.65M sq ft across six facilities. Inaugural LBB-01 at 1498 County Road 315, Abernathy, TX 79311; anticipated service Q1 2027. Company building/funding dedicated electrical infrastructure with Xcel Energy. ~$5B regional economic investment cited. Capacity figure is campus-level, not LBB-01 alone.</t>
  </si>
  <si>
    <t>https://aligneddc.com/abernathy-tx-data-center/ | https://aligneddc.com/press-release/aligned-breaks-ground-on-project-caprock/</t>
  </si>
  <si>
    <t>Project Phoenix Campus (Shippingport)</t>
  </si>
  <si>
    <t>North America — Pennsylvania</t>
  </si>
  <si>
    <t>Gigascale AI campus; closed-loop zero-operational-water cooling; dedicated onsite power (adjacent former coal / gas energy campus)</t>
  </si>
  <si>
    <t>Shippingport</t>
  </si>
  <si>
    <t>Pennsylvania</t>
  </si>
  <si>
    <t>MW (campus — 3 facilities)</t>
  </si>
  <si>
    <t>N/A — groundbreaking Sep 2026; phased multi-year delivery</t>
  </si>
  <si>
    <t>2 GW campus spanning three facilities in Shippingport Industrial Park (Beaver County). Groundbreaking announced 10 Sep 2026. Anchors estimated $10B regional economic investment; ~3,000 construction jobs / ~640 permanent FTE cited. Dedicated onsite power (not local distribution grid); pursuing Green Globes. Individual building codes (e.g. PIT-01) not detailed on primary location index pages.</t>
  </si>
  <si>
    <t>https://aligneddc.com/press-release/project-phoenix-data-center-shippingport-pa/</t>
  </si>
  <si>
    <t>IAD-01 Data Center (Ashburn)</t>
  </si>
  <si>
    <t>North America — Northern Virginia</t>
  </si>
  <si>
    <t>Hyperscale colocation; Delta³ + DeltaFlow; Tier III design</t>
  </si>
  <si>
    <t>Ashburn</t>
  </si>
  <si>
    <t>Virginia</t>
  </si>
  <si>
    <t>Aligned Energy Data Centers (Ashburn), LLC / Aligned Data Centers LLC</t>
  </si>
  <si>
    <t>First building on 26-acre Ashburn campus at 21890 Uunet Drive, Ashburn, VA 20147. Industry directories consistently cite 60 MW. Part of ABS securitization collateral pool historically (Ashburn campus).</t>
  </si>
  <si>
    <t>https://aligneddc.com/northern-virginia-data-centers/ | Baxtel / industry capacity disclosures</t>
  </si>
  <si>
    <t>IAD-02 Data Center (Ashburn)</t>
  </si>
  <si>
    <t>Second building on 26-acre Ashburn campus at 21821 Uunet Drive. Industry directories cite 120 MW (campus ~180 MW with IAD-01 at full build).</t>
  </si>
  <si>
    <t>https://aligneddc.com/northern-virginia-data-centers/ | Baxtel Aligned IAD-02</t>
  </si>
  <si>
    <t>IAD-03 Data Center (Sterling)</t>
  </si>
  <si>
    <t>Hyperscale colocation; Delta³ + DeltaFlow; Tier III design; multi-story</t>
  </si>
  <si>
    <t>Sterling</t>
  </si>
  <si>
    <t>22715 Relocation Dr, Sterling, VA 20166. Industry directories cite ~72 MW / ~430,000 sq ft four-story hyperscale building. Company page lists Tier III design and 100% Uptime SLA.</t>
  </si>
  <si>
    <t>https://aligneddc.com/northern-virginia-data-centers/ | Baxtel Aligned IAD03</t>
  </si>
  <si>
    <t>IAD-04 Data Center (Frederick County / Quantum Frederick)</t>
  </si>
  <si>
    <t>North America — Maryland</t>
  </si>
  <si>
    <t>Hyperscale colocation; Delta³ + DeltaFlow; Tier III design; industrial redevelopment</t>
  </si>
  <si>
    <t>Frederick</t>
  </si>
  <si>
    <t>Maryland</t>
  </si>
  <si>
    <t>75-acre campus at 5601 Manor Woods Road, Frederick, MD 21703 — former aluminum smelting plant redevelopment. QLoop fiber ring connects Frederick to Ashburn with sub-ms latency. Facility-level MW not disclosed on company page; multi-building campus expansion referenced in industry coverage.</t>
  </si>
  <si>
    <t>https://aligneddc.com/maryland-data-centers/</t>
  </si>
  <si>
    <t>PHX-01/02/03 Data Center Campus (Union Hills)</t>
  </si>
  <si>
    <t>North America — Phoenix</t>
  </si>
  <si>
    <t>Hyperscale campus; Delta³ + DeltaFlow; Tier III; Advanced Cooling Lab on campus</t>
  </si>
  <si>
    <t>Phoenix</t>
  </si>
  <si>
    <t>Arizona</t>
  </si>
  <si>
    <t>MW critical (campus aggregate — industry reported)</t>
  </si>
  <si>
    <t>55-acre campus at 2500 W Union Hills Drive, Phoenix, AZ 85027. Company groups PHX-01/02/03 together. Home to Aligned Advanced Cooling Lab. Industry directories cite ~180 MW / ~550,000 sq ft campus aggregate. One of original founding markets (with Dallas).</t>
  </si>
  <si>
    <t>https://aligneddc.com/phoenix-data-centers/ | Baxtel Aligned Phoenix campus</t>
  </si>
  <si>
    <t>PHX-04 Data Center (Chandler)</t>
  </si>
  <si>
    <t>Hyperscale colocation; Delta³ + DeltaFlow; Tier III; Three Green Globes</t>
  </si>
  <si>
    <t>Chandler</t>
  </si>
  <si>
    <t>2501 S Price Rd, Chandler, AZ 85286. Green Globes for New Construction — Three Green Globes certified. Facility-level MW not disclosed on company page.</t>
  </si>
  <si>
    <t>https://aligneddc.com/phoenix-data-centers/</t>
  </si>
  <si>
    <t>PHX-05 Data Center (Union Hills)</t>
  </si>
  <si>
    <t>Listed at 2500 W Union Hills Drive, Phoenix, AZ 85027 (same 55-acre campus as PHX-01/02/03). Facility-level MW not separately disclosed.</t>
  </si>
  <si>
    <t>PHX-06 Data Center (Chandler)</t>
  </si>
  <si>
    <t>2955 West Innovation Street, Chandler, AZ 85286. Three Green Globes certified (company sustainability messaging Jul 2025). Facility-level MW not disclosed on company page.</t>
  </si>
  <si>
    <t>PHX-07 Data Center (Waddell)</t>
  </si>
  <si>
    <t>Hyperscale campus; Delta³ + DeltaFlow; Tier III design</t>
  </si>
  <si>
    <t>Waddell</t>
  </si>
  <si>
    <t>8785 N Reems Rd, Waddell, AZ 85355. Multi-phase Waddell campus (industry coverage references PHX-07 phases). Facility-level MW not disclosed on company page; public permit records have cited large proposed MW for Waddell area.</t>
  </si>
  <si>
    <t>SLC-01 Data Center (West Jordan)</t>
  </si>
  <si>
    <t>North America — Salt Lake City</t>
  </si>
  <si>
    <t>Hyperscale colocation (former Fairchild fab retrofit); Delta³ + DeltaFlow; Tier III</t>
  </si>
  <si>
    <t>West Jordan</t>
  </si>
  <si>
    <t>Utah</t>
  </si>
  <si>
    <t>3333 W 9000 S, West Jordan, UT 84088 — 55-acre campus with on-site substation. Renovated former Fairchild Semiconductor fab; ~300,000 sq ft / 34 MW (industry/DCD reporting of company figures).</t>
  </si>
  <si>
    <t>https://aligneddc.com/salt-lake-city-data-centers/ | DCD SLC-03 announcement (cites SLC-01 34 MW)</t>
  </si>
  <si>
    <t>SLC-02 Data Center (West Jordan)</t>
  </si>
  <si>
    <t>Hyperscale greenfield; Delta³ + DeltaFlow; Tier III</t>
  </si>
  <si>
    <t>MW critical (expandable to ~60 MW)</t>
  </si>
  <si>
    <t>Same West Jordan campus as SLC-01. Opened Mar 2021; ~240,000 sq ft; 48 MW expandable to 60 MW per DCD/company-sourced reporting.</t>
  </si>
  <si>
    <t>https://aligneddc.com/salt-lake-city-data-centers/ | DCD / Baxtel SLC-02</t>
  </si>
  <si>
    <t>SLC-03 Data Center (West Jordan)</t>
  </si>
  <si>
    <t>Hyperscale; Delta³ waterless heat rejection; Three Green Globes</t>
  </si>
  <si>
    <t>MW critical (announced addition)</t>
  </si>
  <si>
    <t>Same 55-acre West Jordan campus. Company/DCD: planned &gt;100 MW addition more than doubling prior SLC-01+02 capacity; Three Green Globes certified. Listed on company SLC page.</t>
  </si>
  <si>
    <t>https://aligneddc.com/salt-lake-city-data-centers/ | https://www.datacenterdynamics.com/en/news/aligned-announces-plans-for-100mw-data-center-in-salt-lake-city-utah/</t>
  </si>
  <si>
    <t>SLC-04 Data Center (West Valley City)</t>
  </si>
  <si>
    <t>Hyperscale campus expansion; Delta³ + DeltaFlow; Tier III</t>
  </si>
  <si>
    <t>West Valley City</t>
  </si>
  <si>
    <t>6368 W Beagley Rd, West Valley City, UT 84128. Industry coverage describes SLC-04 as first facility of ~270 MW planned new development in metro. Company page does not publish MW.</t>
  </si>
  <si>
    <t>https://aligneddc.com/salt-lake-city-data-centers/ | Baxtel Aligned SLC-04</t>
  </si>
  <si>
    <t>ORD-01 Data Center (Northlake)</t>
  </si>
  <si>
    <t>North America — Chicago</t>
  </si>
  <si>
    <t>Hyperscale; Delta³ + DeltaFlow; Tier III; Three Green Globes (first Illinois DC)</t>
  </si>
  <si>
    <t>Northlake</t>
  </si>
  <si>
    <t>Illinois</t>
  </si>
  <si>
    <t>505 Northwest Ave, Northlake, IL 60164. 18.5-acre campus. First Illinois data center with Three Green Globes. Chicago campus full build cited ~520,000 sq ft / ~100 MW critical load across campus (industry). Part of ABS collateral historically (Northlake).</t>
  </si>
  <si>
    <t>https://aligneddc.com/chicago-data-centers/ | Baxtel ORD-01 campus capacity note</t>
  </si>
  <si>
    <t>ORD-02 Data Center (Northlake)</t>
  </si>
  <si>
    <t>Hyperscale; OCP Ready for Hyperscale certified; Delta³ + DeltaFlow; Tier III</t>
  </si>
  <si>
    <t>501 Northwest Ave, Northlake, IL 60164. First data center to achieve OCP Ready for Hyperscale certification. Industry directories cite ~36 MW.</t>
  </si>
  <si>
    <t>https://aligneddc.com/chicago-data-centers/ | Baxtel / Coloprice ORD-02</t>
  </si>
  <si>
    <t>ORD-03 Data Center (Elk Grove Village)</t>
  </si>
  <si>
    <t>Hyperscale campus; Delta³ + DeltaFlow; Tier III; office-to-DC conversion assemblage</t>
  </si>
  <si>
    <t>Elk Grove Village</t>
  </si>
  <si>
    <t>Aligned Data Center (EGV) PropCo LLC / Aligned Data Centers LLC</t>
  </si>
  <si>
    <t>50 NW Point Blvd, Elk Grove Village, IL 60007 — 36-acre campus near O'Hare. Facility-level MW not on company page; public permit records have cited large proposed MW for EGV PropCo.</t>
  </si>
  <si>
    <t>https://aligneddc.com/chicago-data-centers/</t>
  </si>
  <si>
    <t>NEO-01 Data Center (Sandusky)</t>
  </si>
  <si>
    <t>North America — Ohio</t>
  </si>
  <si>
    <t>Hyperscale; OCP Ready for Hyperscale; Delta³ + DeltaFlow; Tier III; site revitalization</t>
  </si>
  <si>
    <t>Sandusky</t>
  </si>
  <si>
    <t>Ohio</t>
  </si>
  <si>
    <t>2509 Hayes Ave, Sandusky, OH 44870 — 129-acre campus. OCP Ready certified. Facility-level MW not disclosed on company page; company cites ~$202M+ investment intent in market coverage.</t>
  </si>
  <si>
    <t>https://aligneddc.com/northeast-ohio-data-centers/</t>
  </si>
  <si>
    <t>CMH-02 Data Center Campus (Conesville)</t>
  </si>
  <si>
    <t>Hyperscale gigascale campus; Delta³ + DeltaFlow; Tier III; industrial park revitalization</t>
  </si>
  <si>
    <t>Conesville</t>
  </si>
  <si>
    <t>N/A — phased delivery; industry reports first building topped out early 2026</t>
  </si>
  <si>
    <t>47201 County Rd 273, Conesville, OH 43811 — 197-acre campus in Conesville Industrial Park. Company page lists Tier III design. Secondary sources cite multi-building / hundreds-of-MW campus; company does not publish MW on Ohio page. Marked Under Construction based on development/construction reporting.</t>
  </si>
  <si>
    <t>ATL-01 Data Center (Lithia Springs)</t>
  </si>
  <si>
    <t>North America — Atlanta</t>
  </si>
  <si>
    <t>Hyperscale / AI-ready colocation; Delta³ + DeltaFlow</t>
  </si>
  <si>
    <t>Lithia Springs</t>
  </si>
  <si>
    <t>Georgia</t>
  </si>
  <si>
    <t>1551 N River Rd, Lithia Springs, GA 30122. Conversion of former logistics facility; industry cites ~280,000 sq ft / ~44 acres. Facility-level MW not on company page.</t>
  </si>
  <si>
    <t>https://aligneddc.com/atlanta-data-centers/</t>
  </si>
  <si>
    <t>PDX-01 Data Center (Hillsboro)</t>
  </si>
  <si>
    <t>North America — Hillsboro / Portland</t>
  </si>
  <si>
    <t>Hyperscale; Delta³ + DeltaFlow; Tier III; BESS on site</t>
  </si>
  <si>
    <t>Hillsboro</t>
  </si>
  <si>
    <t>Oregon</t>
  </si>
  <si>
    <t>MW critical (industry-reported initial facility)</t>
  </si>
  <si>
    <t>Aligned Data Centers (PDX) PropCo, LLC / Aligned Data Centers LLC</t>
  </si>
  <si>
    <t>NE 30th Ave &amp; NE Evergreen Rd, Hillsboro, OR 97124 — 27-acre campus. Battery energy storage system (BESS) noted. Industry directories cite ~72 MW for PDX-01; PDX-02 referenced as future second building on campus.</t>
  </si>
  <si>
    <t>https://aligneddc.com/hillsboro-data-centers/ | Baxtel PDX-01</t>
  </si>
  <si>
    <t>SP-01 Data Center (Santana de Parnaíba)</t>
  </si>
  <si>
    <t>Latin America — Brazil (ODATA)</t>
  </si>
  <si>
    <t>Hyperscale / wholesale colocation; closed-loop chilled water; Tier III; LEED Gold</t>
  </si>
  <si>
    <t>Santana de Parnaíba</t>
  </si>
  <si>
    <t>São Paulo</t>
  </si>
  <si>
    <t>Brazil</t>
  </si>
  <si>
    <t>ODATA (an Aligned Data Centers Company)</t>
  </si>
  <si>
    <t>Estr. dos Romeiros, 943 – Votuparim, Santana de Parnaíba – SP, 06513-001. UPS line-ups 1 MW disclosed on company page (not full IT load). Acquired via ODATA May 2023. 100% renewable energy path in Brazil.</t>
  </si>
  <si>
    <t>https://aligneddc.com/brazil-data-centers/ | https://aligneddc.com/press-release/aligned-data-centers-completes-acquisition-of-odata/</t>
  </si>
  <si>
    <t>SP-02 Data Center (Hortolândia)</t>
  </si>
  <si>
    <t>Hyperscale / wholesale colocation; closed-loop chilled water</t>
  </si>
  <si>
    <t>Hortolândia</t>
  </si>
  <si>
    <t>R. José Blumer, 150 – Chácaras Assay, Hortolândia – SP, 13186-510. UPS line-ups 1 MW / 1.33 MW disclosed. Additional Hortolândia buildings (SP-05/06/07) reported in industry trackers but not listed on company Brazil page as of crawl.</t>
  </si>
  <si>
    <t>https://aligneddc.com/brazil-data-centers/</t>
  </si>
  <si>
    <t>SP-03 Data Center (Barueri / Tamboré)</t>
  </si>
  <si>
    <t>Barueri</t>
  </si>
  <si>
    <t>Alameda Araguacema, 187 – Tamboré, Barueri – SP, 06460-070. 2 x 800 kVA UPS line-ups disclosed.</t>
  </si>
  <si>
    <t>SP-04 Data Center (Osasco)</t>
  </si>
  <si>
    <t>Hyperscale; Delta³ + DeltaFlow liquid-ready; closed-loop</t>
  </si>
  <si>
    <t>Osasco</t>
  </si>
  <si>
    <t>R. Herman, 02 – Industrial Anhangüera, Osasco – SP, 06276-030. First Brazil facility highlighted with Delta³ / DeltaFlow liquid cooling loops. 2 MW UPS line-ups disclosed.</t>
  </si>
  <si>
    <t>RJ-01 Data Center (São João de Meriti)</t>
  </si>
  <si>
    <t>São João de Meriti</t>
  </si>
  <si>
    <t>Rio de Janeiro</t>
  </si>
  <si>
    <t>Rodovia Pres. Dutra, 4.648 – Jardim Jose Bonifacio, São João de Meriti – RJ, CEP 25565-350. 1.33 MW UPS line-ups disclosed.</t>
  </si>
  <si>
    <t>QR-01 Data Center (Querétaro — VYNMSA)</t>
  </si>
  <si>
    <t>Latin America — Mexico (ODATA)</t>
  </si>
  <si>
    <t>Hyperscale campus; Delta³ + DeltaFlow; Tier I digital gateway market</t>
  </si>
  <si>
    <t>Querétaro</t>
  </si>
  <si>
    <t>Mexico</t>
  </si>
  <si>
    <t>Parque Industrial VYNMSA Querétaro, CP 76245. Part of Querétaro campus targeting 400 MW utility capacity with new transmission lines and two substations (company Mexico page). QR-01 first went live 2022 per industry coverage.</t>
  </si>
  <si>
    <t>https://aligneddc.com/mexico-data-centers/</t>
  </si>
  <si>
    <t>QR-02 Data Center (Querétaro — AMEXHE)</t>
  </si>
  <si>
    <t>Hyperscale campus; Delta³ + DeltaFlow</t>
  </si>
  <si>
    <t>Amexhe Industrial Park – Lot 24 – Carretera Federal 45D – Querétaro-Celaya, km 19.700, CP 76245. Part of 400 MW utility-capacity Querétaro buildout.</t>
  </si>
  <si>
    <t>QR-03 Data Center (Los Cues / PyME Industrial Park)</t>
  </si>
  <si>
    <t>Hyperscale multi-building campus; Delta³ + DeltaFlow</t>
  </si>
  <si>
    <t>Los Cues</t>
  </si>
  <si>
    <t>Carretera Estatal 431 – Parque Industrial PyME, Los Cues. Industry coverage cites large multi-building campus (~275,000 sqm / five buildings at full development).</t>
  </si>
  <si>
    <t>QR-04 Data Center (San Miguel de Allende)</t>
  </si>
  <si>
    <t>Hyperscale; Delta³ + DeltaFlow</t>
  </si>
  <si>
    <t>San Miguel de Allende</t>
  </si>
  <si>
    <t>Guanajuato</t>
  </si>
  <si>
    <t>Av. La Aurora 14-22, Fraccionamiento Polígono Empresarial San Miguel de Allende Etapa 2. Fourth Mexican facility; construction began ~2024 per industry coverage. Part of Querétaro-region platform (company groups under Mexico/Querétaro).</t>
  </si>
  <si>
    <t>ST-01 Data Center (Lampa / Santiago)</t>
  </si>
  <si>
    <t>Latin America — Chile (ODATA)</t>
  </si>
  <si>
    <t>Hyperscale / wholesale colocation; closed-loop chilled water; 100% renewable power</t>
  </si>
  <si>
    <t>Lampa</t>
  </si>
  <si>
    <t>Región Metropolitana</t>
  </si>
  <si>
    <t>Chile</t>
  </si>
  <si>
    <t>Avenida Panamericana Norte 17400, Lampa, Región Metropolitana. UPS 1 MW / 1.8 MW line-ups disclosed. Key Santiago-market campus cited in portfolio FAQs.</t>
  </si>
  <si>
    <t>https://aligneddc.com/chile-data-centers/</t>
  </si>
  <si>
    <t>ST-02 Data Center (San Bernardo / Santiago)</t>
  </si>
  <si>
    <t>San Bernardo</t>
  </si>
  <si>
    <t>Camino San Esteban 01268, San Bernardo, Región Metropolitana. 1.33 MW UPS line-ups disclosed.</t>
  </si>
  <si>
    <t>BG-01 Data Center (Cota / Bogotá metro)</t>
  </si>
  <si>
    <t>Latin America — Colombia (ODATA)</t>
  </si>
  <si>
    <t>Hyperscale / wholesale colocation; closed-loop chilled water; free-trade zone</t>
  </si>
  <si>
    <t>Cota</t>
  </si>
  <si>
    <t>Cundinamarca</t>
  </si>
  <si>
    <t>Colombia</t>
  </si>
  <si>
    <t>Zona Franca Metropolitana de Cota Predio San Rafael, Vda. Vuelta Grande, Cota. 8.8 km from downtown Bogotá; 15 km from El Dorado Airport. 2.4 MW UPS line-ups disclosed. Serves top Colombian and global customers per company page.</t>
  </si>
  <si>
    <t>https://aligneddc.com/colombia-data-centers/</t>
  </si>
  <si>
    <t>BG-02 Data Center (planned — Bogotá metro)</t>
  </si>
  <si>
    <t>Hyperscale expansion; AI-ready</t>
  </si>
  <si>
    <t>Mosquera</t>
  </si>
  <si>
    <t>MW (combined BG-02 + BG-03 per company; not split)</t>
  </si>
  <si>
    <t>Planned</t>
  </si>
  <si>
    <t>N/A — company states BG-02 and BG-03 will deliver combined 144 MW; industry notes Mosquera Zona Franca phases toward end-2026</t>
  </si>
  <si>
    <t>Announced</t>
  </si>
  <si>
    <t>New Bogotá-metro capacity. Company: BG-02 and BG-03 combined 144 MW. Capacity value stored as combined figure (not individually allocated). City attributed to Mosquera per industry (Zona Franca de Occidente); confirm against future company facility pages.</t>
  </si>
  <si>
    <t>BG-03 Data Center (planned — Bogotá metro)</t>
  </si>
  <si>
    <t>Tenjo</t>
  </si>
  <si>
    <t>See BG-02 — combined 144 MW with BG-02</t>
  </si>
  <si>
    <t>N/A — combined with BG-02 for 144 MW; industry cites Tenjo Zona Franca Metropolitana</t>
  </si>
  <si>
    <t>Companion planned facility to BG-02. Combined capacity 144 MW disclosed at Colombia page level. Industry describes BG-03 as potentially Colombia's largest DC in Tenjo free-trade zone. Capacity counted once under BG-02 row to avoid double-counting.</t>
  </si>
  <si>
    <t>Aligned Advanced Cooling Lab (Phoenix Campus)</t>
  </si>
  <si>
    <t>North America — Phoenix / R&amp;D</t>
  </si>
  <si>
    <t>R&amp;D Centre</t>
  </si>
  <si>
    <t>Cooling R&amp;D / test lab for AI/HPC thermal solutions (Delta³ / DeltaFlow)</t>
  </si>
  <si>
    <t>Located on Phoenix data center campus. Company markets lab for testing cooling solutions for demanding AI/HPC workloads. Supports 50+ cooling patents platform-wide. Area/headcount not disclosed.</t>
  </si>
  <si>
    <t>Aligned Data Centers LLC — Source Documents &amp; Web Pages</t>
  </si>
  <si>
    <t>Every filing and website page consulted during research</t>
  </si>
  <si>
    <t>Document Title</t>
  </si>
  <si>
    <t>Document Type</t>
  </si>
  <si>
    <t>Publisher</t>
  </si>
  <si>
    <t>Publication Date</t>
  </si>
  <si>
    <t>Fiscal Period Covered</t>
  </si>
  <si>
    <t>Key Sections for Physical Assets</t>
  </si>
  <si>
    <t>Access URL</t>
  </si>
  <si>
    <t>Access Status</t>
  </si>
  <si>
    <t>Aligned Data Centers — Homepage</t>
  </si>
  <si>
    <t>Company Website — Other</t>
  </si>
  <si>
    <t>Aligned Data Centers</t>
  </si>
  <si>
    <t>Current</t>
  </si>
  <si>
    <t>Aligned by the Numbers (87 DCs; 6.4 GW; 51 campuses); North America &amp; Latin America market list</t>
  </si>
  <si>
    <t>https://aligneddc.com/</t>
  </si>
  <si>
    <t>Full Access</t>
  </si>
  <si>
    <t>Primary portfolio scale metrics</t>
  </si>
  <si>
    <t>Gigascale Campuses</t>
  </si>
  <si>
    <t>Company Website — Operations</t>
  </si>
  <si>
    <t>Cooling (DeltaFlow); FAQ markets; Lambda/DFW-04 partnership</t>
  </si>
  <si>
    <t>https://aligneddc.com/gigascale-campuses/</t>
  </si>
  <si>
    <t>Global Data Center Locations</t>
  </si>
  <si>
    <t>Company Website — Asset Locator</t>
  </si>
  <si>
    <t>Markets overview; links to regional pages</t>
  </si>
  <si>
    <t>https://aligneddc.com/locations/</t>
  </si>
  <si>
    <t>Partial Access</t>
  </si>
  <si>
    <t>Interactive/map-style locator; facility detail on regional sub-pages</t>
  </si>
  <si>
    <t>Dallas Data Centers (DFW-01 to DFW-04)</t>
  </si>
  <si>
    <t>Facility addresses, campus acres, Tier III, power/cooling specs</t>
  </si>
  <si>
    <t>HQ co-located; facility MW not on page</t>
  </si>
  <si>
    <t>Phoenix Data Centers (PHX-01 to PHX-07)</t>
  </si>
  <si>
    <t>Facility addresses; Advanced Cooling Lab; Green Globes</t>
  </si>
  <si>
    <t>Northern Virginia Data Centers (IAD-01 to IAD-03)</t>
  </si>
  <si>
    <t>Ashburn/Sterling addresses; 26-acre campus</t>
  </si>
  <si>
    <t>https://aligneddc.com/northern-virginia-data-centers/</t>
  </si>
  <si>
    <t>MW from industry directories cross-check</t>
  </si>
  <si>
    <t>Maryland / Frederick Data Centers (IAD-04)</t>
  </si>
  <si>
    <t>5601 Manor Woods Rd; 75-acre campus; QLoop fiber</t>
  </si>
  <si>
    <t>Salt Lake City Data Centers (SLC-01 to SLC-04)</t>
  </si>
  <si>
    <t>West Jordan / West Valley addresses; Green Globes SLC-03</t>
  </si>
  <si>
    <t>https://aligneddc.com/salt-lake-city-data-centers/</t>
  </si>
  <si>
    <t>Chicago Data Centers (ORD-01 to ORD-03)</t>
  </si>
  <si>
    <t>Northlake / Elk Grove addresses; OCP Ready; Green Globes</t>
  </si>
  <si>
    <t>Northeast Ohio Data Centers (NEO-01, CMH-02)</t>
  </si>
  <si>
    <t>Sandusky 129-acre; Conesville 197-acre</t>
  </si>
  <si>
    <t>Atlanta Data Centers (ATL-01)</t>
  </si>
  <si>
    <t>Lithia Springs address; power/cooling</t>
  </si>
  <si>
    <t>Hillsboro Data Centers (PDX-01)</t>
  </si>
  <si>
    <t>27-acre campus; BESS; Evergreen Rd</t>
  </si>
  <si>
    <t>https://aligneddc.com/hillsboro-data-centers/</t>
  </si>
  <si>
    <t>Abernathy TX / Caprock Campus (LBB-01)</t>
  </si>
  <si>
    <t>LBB-01 address; dedicated power; cooling</t>
  </si>
  <si>
    <t>https://aligneddc.com/abernathy-tx-data-center/</t>
  </si>
  <si>
    <t>Campus MW in groundbreaking PR</t>
  </si>
  <si>
    <t>Brazil Data Centers (SP-01 to SP-04, RJ-01)</t>
  </si>
  <si>
    <t>Aligned Data Centers / ODATA</t>
  </si>
  <si>
    <t>Facility addresses; UPS ratings; certifications</t>
  </si>
  <si>
    <t>ODATA LATAM platform</t>
  </si>
  <si>
    <t>Mexico / Querétaro Data Centers (QR-01 to QR-04)</t>
  </si>
  <si>
    <t>400 MW utility capacity target; facility addresses</t>
  </si>
  <si>
    <t>Chile Data Centers (ST-01, ST-02)</t>
  </si>
  <si>
    <t>Lampa / San Bernardo addresses; UPS ratings</t>
  </si>
  <si>
    <t>Colombia Data Centers (BG-01; BG-02/03 planned)</t>
  </si>
  <si>
    <t>Cota free-trade zone; 144 MW BG-02+BG-03</t>
  </si>
  <si>
    <t>Contact — Corporate Headquarters</t>
  </si>
  <si>
    <t>2800 Summit Avenue Plano TX HQ; FAQ footprint</t>
  </si>
  <si>
    <t>https://aligneddc.com/contact/</t>
  </si>
  <si>
    <t>Leadership Team</t>
  </si>
  <si>
    <t>US and LATAM/ODATA leadership</t>
  </si>
  <si>
    <t>https://aligneddc.com/leadership/</t>
  </si>
  <si>
    <t>CEO Andrew Schaap; ODATA CEO Ricardo Alário</t>
  </si>
  <si>
    <t>AIP, MGX and BlackRock GIP Close Acquisition of Aligned (~$40B EV)</t>
  </si>
  <si>
    <t>Press Release</t>
  </si>
  <si>
    <t>Aligned Data Centers / AIP / MGX / GIP</t>
  </si>
  <si>
    <t>2026-07-21</t>
  </si>
  <si>
    <t>2026</t>
  </si>
  <si>
    <t>EV ~$40B; 51 campuses; 6.4 GW; +$5B growth capital; HQ Dallas</t>
  </si>
  <si>
    <t>https://aligneddc.com/press-release/aip-mgx-and-blackrocks-gip-close-acquisition-of-aligned-data-centers/</t>
  </si>
  <si>
    <t>Ownership transfer from Macquarie funds</t>
  </si>
  <si>
    <t>AI Infrastructure Partnership / MGX / GIP to Acquire Aligned (announcement)</t>
  </si>
  <si>
    <t>2025-10-15</t>
  </si>
  <si>
    <t>2025</t>
  </si>
  <si>
    <t>EV ~$40B; 50 campuses; 5+ GW; expected close H1 2026</t>
  </si>
  <si>
    <t>https://aligneddc.com/press-release/ai-infrastructure-partnership-aip-mgx-and-blackrocks-global-infrastructure-partners-gip-to-acquire-all-equity-in-aligned-data-centers/</t>
  </si>
  <si>
    <t>Aligned Completes $12+ Billion Capital Raise</t>
  </si>
  <si>
    <t>2025-01-15</t>
  </si>
  <si>
    <t>&gt;$5B equity; &gt;$7B debt; 5+ GW planned capacity funding</t>
  </si>
  <si>
    <t>https://aligneddc.com/press-release/aligned-data-centers-completes-12-billion-capital-raise/</t>
  </si>
  <si>
    <t>Track A financing disclosure</t>
  </si>
  <si>
    <t>Aligned Completes Acquisition of ODATA</t>
  </si>
  <si>
    <t>2023-05-22</t>
  </si>
  <si>
    <t>2023</t>
  </si>
  <si>
    <t>LATAM footprint Brazil/Chile/Colombia/Mexico; &gt;2.5 GW / 40+ DCs at full buildout; Omega Energia wind stake</t>
  </si>
  <si>
    <t>https://aligneddc.com/press-release/aligned-data-centers-completes-acquisition-of-odata/</t>
  </si>
  <si>
    <t>Financial terms undisclosed</t>
  </si>
  <si>
    <t>Project Caprock Groundbreaking — 540 MW Abernathy Campus</t>
  </si>
  <si>
    <t>2026-04-09</t>
  </si>
  <si>
    <t>540 MW; 313 acres; 6 facilities; 1.65M sq ft; LBB-01 Q1 2027; ~$5B regional investment</t>
  </si>
  <si>
    <t>https://aligneddc.com/press-release/aligned-breaks-ground-on-project-caprock/</t>
  </si>
  <si>
    <t>Project Phoenix Groundbreaking — 2 GW Shippingport Campus</t>
  </si>
  <si>
    <t>2026-09-10</t>
  </si>
  <si>
    <t>2 GW; 3 facilities; ~$10B regional investment; dedicated onsite power; ~640 permanent jobs</t>
  </si>
  <si>
    <t>Pennsylvania — not on homepage market chips at time of crawl but official PR</t>
  </si>
  <si>
    <t>Aligned Completes $1.18 Billion Securitization Financing</t>
  </si>
  <si>
    <t>2026-07-28</t>
  </si>
  <si>
    <t>USD 1.183B ABS; four campuses; 14 enterprise customers</t>
  </si>
  <si>
    <t>https://aligneddc.com/press-release/aligned-data-centers-completes-1-18-billion-securitization-financing/</t>
  </si>
  <si>
    <t>Series 2026-1</t>
  </si>
  <si>
    <t>Aligned Expands Dallas Data Center Campus (DFW-01 60 MW full build)</t>
  </si>
  <si>
    <t>2019-09-10</t>
  </si>
  <si>
    <t>2019</t>
  </si>
  <si>
    <t>DFW-01 8 MW expansion; full build 375k sq ft / 60 MW</t>
  </si>
  <si>
    <t>https://aligneddc.com/press-release/aligned-energy-expands-its-dallas-data-center-campus/</t>
  </si>
  <si>
    <t>Historical capacity disclosure</t>
  </si>
  <si>
    <t>Blackstone Credit &amp; Insurance / Aligned Financing Partnership &gt;$1B</t>
  </si>
  <si>
    <t>2025-08-21</t>
  </si>
  <si>
    <t>Senior secured credit upsize; 5+ GW planned capacity support</t>
  </si>
  <si>
    <t>https://aligneddc.com/press-release/blackstone-credit-insurance-and-aligned-data-centers-expand-financing-partnership-surpassing-1-billion-in-commitments/</t>
  </si>
  <si>
    <t>Debt financing — not equity ownership</t>
  </si>
  <si>
    <t>Macquarie Asset Management — Accelerating Growth of Aligned Data Centers</t>
  </si>
  <si>
    <t>Other</t>
  </si>
  <si>
    <t>Macquarie Group / Macquarie Asset Management</t>
  </si>
  <si>
    <t>2026-09-23</t>
  </si>
  <si>
    <t>2018–2026 ownership</t>
  </si>
  <si>
    <t>85 MW/2 sites → 6.4 GW/51 campuses; ODATA 2023; Jul 2026 sale ~$40B EV; &gt;$5B primary equity arranged</t>
  </si>
  <si>
    <t>https://www.macquarie.com/us/en/insights/accelerating-the-growth-of-aligned-data-centres-a-market-leading-data-centre-platform-in-the-americas.html</t>
  </si>
  <si>
    <t>Seller/sponsor retrospective</t>
  </si>
  <si>
    <t>ABS-15G — ADC Holdco, LLC / Aligned Data Centers Issuer, LLC</t>
  </si>
  <si>
    <t>Regulatory Filing</t>
  </si>
  <si>
    <t>SEC EDGAR (CIK 0001872842)</t>
  </si>
  <si>
    <t>2026-06-17</t>
  </si>
  <si>
    <t>Series 2026-1 diligence</t>
  </si>
  <si>
    <t>Form ABS-15G; Exhibit 99.1 KPMG AUP on 24 leases as of 28 Feb 2026</t>
  </si>
  <si>
    <t>https://www.sec.gov/Archives/edgar/data/1872842/000119312526274262/d48705dabs15g.htm</t>
  </si>
  <si>
    <t>Securitizer filing — not consolidated FS; lease kW attributes in data tape (not fully extracted herein)</t>
  </si>
  <si>
    <t>EX-99.1 Independent Accountants’ AUP Report — Series 2026-1 Data File</t>
  </si>
  <si>
    <t>KPMG / SEC EDGAR</t>
  </si>
  <si>
    <t>2026-06-01</t>
  </si>
  <si>
    <t>As of 2026-02-28</t>
  </si>
  <si>
    <t>24 data center leases; kW Leased/Ramped; AABR procedures</t>
  </si>
  <si>
    <t>https://www.sec.gov/Archives/edgar/data/1872842/000119312526274262/d48705dex991.htm</t>
  </si>
  <si>
    <t>Procedures describe attributes; underlying Excel data tape not public in filing body</t>
  </si>
  <si>
    <t>DCD — Aligned raises $1.19bn ABS (trust appraisal / leased MW context)</t>
  </si>
  <si>
    <t>Data Center Dynamics</t>
  </si>
  <si>
    <t>Four campuses Ashburn/Plano/Northlake; ~USD 3.16B appraised trust value</t>
  </si>
  <si>
    <t>https://www.datacenterdynamics.com/en/news/aligned-raises-119bn-in-asset-backed-securities/</t>
  </si>
  <si>
    <t>Secondary summary of S&amp;P pre-sale</t>
  </si>
  <si>
    <t>DCD — Aligned announces plans for 100MW SLC-03</t>
  </si>
  <si>
    <t>Historical</t>
  </si>
  <si>
    <t>SLC-03 &gt;100 MW; SLC-01 34 MW; SLC-02 48 MW expandable 60 MW</t>
  </si>
  <si>
    <t>https://www.datacenterdynamics.com/en/news/aligned-announces-plans-for-100mw-data-center-in-salt-lake-city-utah/</t>
  </si>
  <si>
    <t>Capacity cross-check for SLC campus</t>
  </si>
  <si>
    <t>Baxtel — Aligned Data Centers facility directory</t>
  </si>
  <si>
    <t>Baxtel</t>
  </si>
  <si>
    <t>Facility-level MW where published (IAD, DFW, SLC, ORD, PDX, etc.)</t>
  </si>
  <si>
    <t>https://baxtel.com/data-centers/aligned</t>
  </si>
  <si>
    <t>Secondary aggregator used only to fill MW gaps when company pages omit critical load; primary naming/locations from aligneddc.com</t>
  </si>
  <si>
    <t>Coloprice — Aligned Data Centers provider inventory</t>
  </si>
  <si>
    <t>Coloprice</t>
  </si>
  <si>
    <t>40 facilities status table; published MW subset</t>
  </si>
  <si>
    <t>https://coloprice.com/providers/aligned-data-centers/</t>
  </si>
  <si>
    <t>Secondary cross-check; not primary source for register rows</t>
  </si>
  <si>
    <t>Reuters — Aligned $40B sale spotlight / company facts</t>
  </si>
  <si>
    <t>Reuters</t>
  </si>
  <si>
    <t>Founded 2013; Dallas HQ; 50 campuses / ~5 GW at announcement</t>
  </si>
  <si>
    <t>https://www.reuters.com/legal/transactional/aligned-data-centers-spotlight-after-40-billion-sale-blackrock-nvidia-backed-2025-10-15/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</si>
</sst>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1"/>
      <color theme="1"/>
      <name val="Calibri"/>
      <family val="2"/>
      <scheme val="minor"/>
    </font>
    <font>
      <b/>
      <sz val="16"/>
      <color rgb="FFFFFFFF"/>
      <name val="Arial"/>
    </font>
    <font>
      <i/>
      <sz val="10"/>
      <name val="Arial"/>
    </font>
    <font>
      <b/>
      <sz val="11"/>
      <name val="Arial"/>
    </font>
    <font>
      <b/>
      <sz val="10"/>
      <name val="Arial"/>
    </font>
    <font>
      <sz val="10"/>
      <name val="Arial"/>
    </font>
    <font>
      <b/>
      <sz val="10"/>
      <color rgb="FFFFFFFF"/>
      <name val="Arial"/>
    </font>
    <font>
      <sz val="10"/>
      <color rgb="FF0000FF"/>
      <name val="Arial"/>
    </font>
    <font>
      <i/>
      <sz val="9"/>
      <color rgb="FF595959"/>
      <name val="Arial"/>
    </font>
    <font>
      <i/>
      <sz val="8"/>
      <color rgb="FF808080"/>
      <name val="Arial"/>
    </font>
    <font>
      <b/>
      <sz val="10"/>
      <color rgb="FF000000"/>
      <name val="Arial"/>
    </font>
    <font>
      <sz val="10"/>
      <color rgb="FF000000"/>
      <name val="Arial"/>
    </font>
    <font>
      <u/>
      <sz val="10"/>
      <color rgb="FF0563C1"/>
      <name val="Arial"/>
    </font>
  </fonts>
  <fills count="10">
    <fill>
      <patternFill patternType="none"/>
    </fill>
    <fill>
      <patternFill patternType="gray125"/>
    </fill>
    <fill>
      <patternFill patternType="solid">
        <fgColor rgb="FF005293"/>
      </patternFill>
    </fill>
    <fill>
      <patternFill patternType="solid">
        <fgColor rgb="FFF2F2F2"/>
      </patternFill>
    </fill>
    <fill>
      <patternFill patternType="solid">
        <fgColor rgb="FFC6EFCE"/>
      </patternFill>
    </fill>
    <fill>
      <patternFill patternType="solid">
        <fgColor rgb="FF006100"/>
      </patternFill>
    </fill>
    <fill>
      <patternFill patternType="solid">
        <fgColor rgb="FFFFC000"/>
      </patternFill>
    </fill>
    <fill>
      <patternFill patternType="solid">
        <fgColor rgb="FFD9D9D9"/>
      </patternFill>
    </fill>
    <fill>
      <patternFill patternType="solid">
        <fgColor rgb="FFFFEB9C"/>
      </patternFill>
    </fill>
    <fill>
      <patternFill patternType="solid">
        <f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7">
    <xf numFmtId="0" fontId="0" fillId="0" borderId="0" xfId="0"/>
    <xf numFmtId="0" fontId="4" fillId="0" borderId="0" xfId="0" applyFont="1"/>
    <xf numFmtId="0" fontId="5" fillId="0" borderId="0" xfId="0" applyFont="1" applyAlignment="1">
      <alignment vertical="top" wrapText="1"/>
    </xf>
    <xf numFmtId="0" fontId="6" fillId="2" borderId="1" xfId="0" applyFont="1" applyFill="1" applyBorder="1" applyAlignment="1">
      <alignment horizontal="center" vertical="center" wrapText="1"/>
    </xf>
    <xf numFmtId="0" fontId="5" fillId="0" borderId="1" xfId="0" applyFont="1" applyBorder="1"/>
    <xf numFmtId="3" fontId="7" fillId="0" borderId="1" xfId="0" applyNumberFormat="1" applyFont="1" applyBorder="1"/>
    <xf numFmtId="3" fontId="0" fillId="0" borderId="1" xfId="0" applyNumberFormat="1" applyBorder="1"/>
    <xf numFmtId="164" fontId="0" fillId="0" borderId="1" xfId="0" applyNumberFormat="1" applyBorder="1"/>
    <xf numFmtId="0" fontId="8" fillId="0" borderId="1" xfId="0" applyFont="1" applyBorder="1"/>
    <xf numFmtId="0" fontId="5" fillId="3" borderId="1" xfId="0" applyFont="1" applyFill="1" applyBorder="1"/>
    <xf numFmtId="3" fontId="7" fillId="3" borderId="1" xfId="0" applyNumberFormat="1" applyFont="1" applyFill="1" applyBorder="1"/>
    <xf numFmtId="3" fontId="0" fillId="3" borderId="1" xfId="0" applyNumberFormat="1" applyFill="1" applyBorder="1"/>
    <xf numFmtId="164" fontId="0" fillId="3" borderId="1" xfId="0" applyNumberFormat="1" applyFill="1" applyBorder="1"/>
    <xf numFmtId="0" fontId="8" fillId="3" borderId="1" xfId="0" applyFont="1" applyFill="1" applyBorder="1"/>
    <xf numFmtId="0" fontId="5" fillId="0" borderId="1" xfId="0" applyFont="1" applyBorder="1" applyAlignment="1">
      <alignment vertical="top"/>
    </xf>
    <xf numFmtId="0" fontId="5" fillId="0" borderId="1" xfId="0" applyFont="1" applyBorder="1" applyAlignment="1">
      <alignment vertical="top" wrapText="1"/>
    </xf>
    <xf numFmtId="3" fontId="5" fillId="0" borderId="1" xfId="0" applyNumberFormat="1" applyFont="1" applyBorder="1" applyAlignment="1">
      <alignment vertical="top"/>
    </xf>
    <xf numFmtId="0" fontId="5" fillId="4" borderId="1" xfId="0" applyFont="1" applyFill="1" applyBorder="1" applyAlignment="1">
      <alignment vertical="top"/>
    </xf>
    <xf numFmtId="9" fontId="5" fillId="0" borderId="1" xfId="0" applyNumberFormat="1" applyFont="1" applyBorder="1" applyAlignment="1">
      <alignment vertical="top"/>
    </xf>
    <xf numFmtId="0" fontId="6" fillId="5" borderId="1" xfId="0" applyFont="1" applyFill="1" applyBorder="1" applyAlignment="1">
      <alignment vertical="top"/>
    </xf>
    <xf numFmtId="0" fontId="5" fillId="3" borderId="1" xfId="0" applyFont="1" applyFill="1" applyBorder="1" applyAlignment="1">
      <alignment vertical="top"/>
    </xf>
    <xf numFmtId="0" fontId="5" fillId="3" borderId="1" xfId="0" applyFont="1" applyFill="1" applyBorder="1" applyAlignment="1">
      <alignment vertical="top" wrapText="1"/>
    </xf>
    <xf numFmtId="3" fontId="5" fillId="3" borderId="1" xfId="0" applyNumberFormat="1" applyFont="1" applyFill="1" applyBorder="1" applyAlignment="1">
      <alignment vertical="top"/>
    </xf>
    <xf numFmtId="9" fontId="5" fillId="3" borderId="1" xfId="0" applyNumberFormat="1" applyFont="1" applyFill="1" applyBorder="1" applyAlignment="1">
      <alignment vertical="top"/>
    </xf>
    <xf numFmtId="0" fontId="10" fillId="6" borderId="1" xfId="0" applyFont="1" applyFill="1" applyBorder="1" applyAlignment="1">
      <alignment vertical="top"/>
    </xf>
    <xf numFmtId="0" fontId="11" fillId="7" borderId="1" xfId="0" applyFont="1" applyFill="1" applyBorder="1" applyAlignment="1">
      <alignment vertical="top"/>
    </xf>
    <xf numFmtId="0" fontId="5" fillId="8" borderId="1" xfId="0" applyFont="1" applyFill="1" applyBorder="1" applyAlignment="1">
      <alignment vertical="top"/>
    </xf>
    <xf numFmtId="0" fontId="5" fillId="9" borderId="1" xfId="0" applyFont="1" applyFill="1" applyBorder="1" applyAlignment="1">
      <alignment vertical="top"/>
    </xf>
    <xf numFmtId="0" fontId="12" fillId="0" borderId="1" xfId="0" applyFont="1" applyBorder="1" applyAlignment="1">
      <alignment vertical="top" wrapText="1"/>
    </xf>
    <xf numFmtId="0" fontId="12" fillId="3" borderId="1" xfId="0" applyFont="1" applyFill="1" applyBorder="1" applyAlignment="1">
      <alignment vertical="top" wrapText="1"/>
    </xf>
    <xf numFmtId="0" fontId="1" fillId="2" borderId="0" xfId="0" applyFont="1" applyFill="1" applyAlignment="1">
      <alignment vertical="center"/>
    </xf>
    <xf numFmtId="0" fontId="8" fillId="3" borderId="0" xfId="0" applyFont="1" applyFill="1" applyAlignment="1">
      <alignment vertical="top" wrapText="1"/>
    </xf>
    <xf numFmtId="0" fontId="0" fillId="0" borderId="0" xfId="0" applyAlignment="1"/>
    <xf numFmtId="0" fontId="2" fillId="3" borderId="0" xfId="0" applyFont="1" applyFill="1" applyAlignment="1"/>
    <xf numFmtId="0" fontId="3" fillId="0" borderId="0" xfId="0" applyFont="1" applyAlignment="1"/>
    <xf numFmtId="0" fontId="9" fillId="0" borderId="0" xfId="0" applyFont="1" applyAlignment="1"/>
    <xf numFmtId="0" fontId="1" fillId="2"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aligneddc.com/abernathy-tx-data-center/" TargetMode="External"/><Relationship Id="rId18" Type="http://schemas.openxmlformats.org/officeDocument/2006/relationships/hyperlink" Target="https://aligneddc.com/contact/" TargetMode="External"/><Relationship Id="rId26" Type="http://schemas.openxmlformats.org/officeDocument/2006/relationships/hyperlink" Target="https://aligneddc.com/press-release/aligned-data-centers-completes-1-18-billion-securitization-financing/" TargetMode="External"/><Relationship Id="rId3" Type="http://schemas.openxmlformats.org/officeDocument/2006/relationships/hyperlink" Target="https://aligneddc.com/locations/" TargetMode="External"/><Relationship Id="rId21" Type="http://schemas.openxmlformats.org/officeDocument/2006/relationships/hyperlink" Target="https://aligneddc.com/press-release/ai-infrastructure-partnership-aip-mgx-and-blackrocks-global-infrastructure-partners-gip-to-acquire-all-equity-in-aligned-data-centers/" TargetMode="External"/><Relationship Id="rId34" Type="http://schemas.openxmlformats.org/officeDocument/2006/relationships/hyperlink" Target="https://baxtel.com/data-centers/aligned" TargetMode="External"/><Relationship Id="rId7" Type="http://schemas.openxmlformats.org/officeDocument/2006/relationships/hyperlink" Target="https://aligneddc.com/maryland-data-centers/" TargetMode="External"/><Relationship Id="rId12" Type="http://schemas.openxmlformats.org/officeDocument/2006/relationships/hyperlink" Target="https://aligneddc.com/hillsboro-data-centers/" TargetMode="External"/><Relationship Id="rId17" Type="http://schemas.openxmlformats.org/officeDocument/2006/relationships/hyperlink" Target="https://aligneddc.com/colombia-data-centers/" TargetMode="External"/><Relationship Id="rId25" Type="http://schemas.openxmlformats.org/officeDocument/2006/relationships/hyperlink" Target="https://aligneddc.com/press-release/project-phoenix-data-center-shippingport-pa/" TargetMode="External"/><Relationship Id="rId33" Type="http://schemas.openxmlformats.org/officeDocument/2006/relationships/hyperlink" Target="https://www.datacenterdynamics.com/en/news/aligned-announces-plans-for-100mw-data-center-in-salt-lake-city-utah/" TargetMode="External"/><Relationship Id="rId2" Type="http://schemas.openxmlformats.org/officeDocument/2006/relationships/hyperlink" Target="https://aligneddc.com/gigascale-campuses/" TargetMode="External"/><Relationship Id="rId16" Type="http://schemas.openxmlformats.org/officeDocument/2006/relationships/hyperlink" Target="https://aligneddc.com/chile-data-centers/" TargetMode="External"/><Relationship Id="rId20" Type="http://schemas.openxmlformats.org/officeDocument/2006/relationships/hyperlink" Target="https://aligneddc.com/press-release/aip-mgx-and-blackrocks-gip-close-acquisition-of-aligned-data-centers/" TargetMode="External"/><Relationship Id="rId29" Type="http://schemas.openxmlformats.org/officeDocument/2006/relationships/hyperlink" Target="https://www.macquarie.com/us/en/insights/accelerating-the-growth-of-aligned-data-centres-a-market-leading-data-centre-platform-in-the-americas.html" TargetMode="External"/><Relationship Id="rId1" Type="http://schemas.openxmlformats.org/officeDocument/2006/relationships/hyperlink" Target="https://aligneddc.com/" TargetMode="External"/><Relationship Id="rId6" Type="http://schemas.openxmlformats.org/officeDocument/2006/relationships/hyperlink" Target="https://aligneddc.com/northern-virginia-data-centers/" TargetMode="External"/><Relationship Id="rId11" Type="http://schemas.openxmlformats.org/officeDocument/2006/relationships/hyperlink" Target="https://aligneddc.com/atlanta-data-centers/" TargetMode="External"/><Relationship Id="rId24" Type="http://schemas.openxmlformats.org/officeDocument/2006/relationships/hyperlink" Target="https://aligneddc.com/press-release/aligned-breaks-ground-on-project-caprock/" TargetMode="External"/><Relationship Id="rId32" Type="http://schemas.openxmlformats.org/officeDocument/2006/relationships/hyperlink" Target="https://www.datacenterdynamics.com/en/news/aligned-raises-119bn-in-asset-backed-securities/" TargetMode="External"/><Relationship Id="rId5" Type="http://schemas.openxmlformats.org/officeDocument/2006/relationships/hyperlink" Target="https://aligneddc.com/phoenix-data-centers/" TargetMode="External"/><Relationship Id="rId15" Type="http://schemas.openxmlformats.org/officeDocument/2006/relationships/hyperlink" Target="https://aligneddc.com/mexico-data-centers/" TargetMode="External"/><Relationship Id="rId23" Type="http://schemas.openxmlformats.org/officeDocument/2006/relationships/hyperlink" Target="https://aligneddc.com/press-release/aligned-data-centers-completes-acquisition-of-odata/" TargetMode="External"/><Relationship Id="rId28" Type="http://schemas.openxmlformats.org/officeDocument/2006/relationships/hyperlink" Target="https://aligneddc.com/press-release/blackstone-credit-insurance-and-aligned-data-centers-expand-financing-partnership-surpassing-1-billion-in-commitments/" TargetMode="External"/><Relationship Id="rId36" Type="http://schemas.openxmlformats.org/officeDocument/2006/relationships/hyperlink" Target="https://www.reuters.com/legal/transactional/aligned-data-centers-spotlight-after-40-billion-sale-blackrock-nvidia-backed-2025-10-15/" TargetMode="External"/><Relationship Id="rId10" Type="http://schemas.openxmlformats.org/officeDocument/2006/relationships/hyperlink" Target="https://aligneddc.com/northeast-ohio-data-centers/" TargetMode="External"/><Relationship Id="rId19" Type="http://schemas.openxmlformats.org/officeDocument/2006/relationships/hyperlink" Target="https://aligneddc.com/leadership/" TargetMode="External"/><Relationship Id="rId31" Type="http://schemas.openxmlformats.org/officeDocument/2006/relationships/hyperlink" Target="https://www.sec.gov/Archives/edgar/data/1872842/000119312526274262/d48705dex991.htm" TargetMode="External"/><Relationship Id="rId4" Type="http://schemas.openxmlformats.org/officeDocument/2006/relationships/hyperlink" Target="https://aligneddc.com/dallas-data-centers/" TargetMode="External"/><Relationship Id="rId9" Type="http://schemas.openxmlformats.org/officeDocument/2006/relationships/hyperlink" Target="https://aligneddc.com/chicago-data-centers/" TargetMode="External"/><Relationship Id="rId14" Type="http://schemas.openxmlformats.org/officeDocument/2006/relationships/hyperlink" Target="https://aligneddc.com/brazil-data-centers/" TargetMode="External"/><Relationship Id="rId22" Type="http://schemas.openxmlformats.org/officeDocument/2006/relationships/hyperlink" Target="https://aligneddc.com/press-release/aligned-data-centers-completes-12-billion-capital-raise/" TargetMode="External"/><Relationship Id="rId27" Type="http://schemas.openxmlformats.org/officeDocument/2006/relationships/hyperlink" Target="https://aligneddc.com/press-release/aligned-energy-expands-its-dallas-data-center-campus/" TargetMode="External"/><Relationship Id="rId30" Type="http://schemas.openxmlformats.org/officeDocument/2006/relationships/hyperlink" Target="https://www.sec.gov/Archives/edgar/data/1872842/000119312526274262/d48705dabs15g.htm" TargetMode="External"/><Relationship Id="rId35" Type="http://schemas.openxmlformats.org/officeDocument/2006/relationships/hyperlink" Target="https://coloprice.com/providers/aligned-data-centers/" TargetMode="External"/><Relationship Id="rId8" Type="http://schemas.openxmlformats.org/officeDocument/2006/relationships/hyperlink" Target="https://aligneddc.com/salt-lake-city-data-cent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workbookViewId="0"/>
  </sheetViews>
  <sheetFormatPr defaultRowHeight="15"/>
  <cols>
    <col min="1" max="1" width="30" customWidth="1"/>
    <col min="2" max="2" width="40" customWidth="1"/>
    <col min="3" max="3" width="22" customWidth="1"/>
    <col min="4" max="4" width="16" customWidth="1"/>
    <col min="5" max="5" width="14" customWidth="1"/>
    <col min="6" max="6" width="40" customWidth="1"/>
  </cols>
  <sheetData>
    <row r="1" spans="1:6">
      <c r="A1" s="30" t="s">
        <v>0</v>
      </c>
      <c r="B1" s="32"/>
      <c r="C1" s="32"/>
      <c r="D1" s="32"/>
      <c r="E1" s="32"/>
      <c r="F1" s="32"/>
    </row>
    <row r="2" spans="1:6">
      <c r="A2" s="33" t="s">
        <v>1</v>
      </c>
      <c r="B2" s="32"/>
      <c r="C2" s="32"/>
      <c r="D2" s="32"/>
      <c r="E2" s="32"/>
      <c r="F2" s="32"/>
    </row>
    <row r="4" spans="1:6">
      <c r="A4" s="34" t="s">
        <v>2</v>
      </c>
      <c r="B4" s="32"/>
    </row>
    <row r="5" spans="1:6">
      <c r="A5" s="1" t="s">
        <v>3</v>
      </c>
      <c r="B5" s="2" t="s">
        <v>4</v>
      </c>
    </row>
    <row r="6" spans="1:6">
      <c r="A6" s="1" t="s">
        <v>5</v>
      </c>
      <c r="B6" s="2" t="s">
        <v>6</v>
      </c>
    </row>
    <row r="7" spans="1:6">
      <c r="A7" s="1" t="s">
        <v>7</v>
      </c>
      <c r="B7" s="2" t="s">
        <v>8</v>
      </c>
    </row>
    <row r="8" spans="1:6">
      <c r="A8" s="1" t="s">
        <v>9</v>
      </c>
      <c r="B8" s="2" t="s">
        <v>10</v>
      </c>
    </row>
    <row r="9" spans="1:6">
      <c r="A9" s="1" t="s">
        <v>11</v>
      </c>
      <c r="B9" s="2" t="s">
        <v>12</v>
      </c>
    </row>
    <row r="10" spans="1:6">
      <c r="A10" s="1" t="s">
        <v>13</v>
      </c>
      <c r="B10" s="2" t="s">
        <v>14</v>
      </c>
    </row>
    <row r="11" spans="1:6">
      <c r="A11" s="1" t="s">
        <v>15</v>
      </c>
      <c r="B11" s="2" t="s">
        <v>16</v>
      </c>
    </row>
    <row r="12" spans="1:6">
      <c r="A12" s="1" t="s">
        <v>17</v>
      </c>
      <c r="B12" s="2" t="s">
        <v>18</v>
      </c>
    </row>
    <row r="13" spans="1:6">
      <c r="A13" s="1" t="s">
        <v>19</v>
      </c>
      <c r="B13" s="2" t="s">
        <v>20</v>
      </c>
    </row>
    <row r="14" spans="1:6">
      <c r="A14" s="1" t="s">
        <v>21</v>
      </c>
      <c r="B14" s="2" t="s">
        <v>22</v>
      </c>
    </row>
    <row r="15" spans="1:6">
      <c r="A15" s="1" t="s">
        <v>23</v>
      </c>
      <c r="B15" s="2" t="s">
        <v>24</v>
      </c>
    </row>
    <row r="16" spans="1:6">
      <c r="A16" s="1" t="s">
        <v>25</v>
      </c>
      <c r="B16" s="2" t="s">
        <v>26</v>
      </c>
    </row>
    <row r="17" spans="1:6">
      <c r="A17" s="1" t="s">
        <v>27</v>
      </c>
      <c r="B17" s="2" t="s">
        <v>28</v>
      </c>
    </row>
    <row r="18" spans="1:6">
      <c r="A18" s="1" t="s">
        <v>29</v>
      </c>
      <c r="B18" s="2" t="s">
        <v>30</v>
      </c>
    </row>
    <row r="19" spans="1:6">
      <c r="A19" s="1" t="s">
        <v>31</v>
      </c>
      <c r="B19" s="2" t="s">
        <v>32</v>
      </c>
    </row>
    <row r="21" spans="1:6">
      <c r="A21" s="34" t="s">
        <v>33</v>
      </c>
      <c r="B21" s="32"/>
      <c r="C21" s="32"/>
      <c r="D21" s="32"/>
      <c r="E21" s="32"/>
    </row>
    <row r="22" spans="1:6">
      <c r="A22" s="3" t="s">
        <v>34</v>
      </c>
      <c r="B22" s="3" t="s">
        <v>35</v>
      </c>
      <c r="C22" s="3" t="s">
        <v>36</v>
      </c>
      <c r="D22" s="3" t="s">
        <v>37</v>
      </c>
      <c r="E22" s="3" t="s">
        <v>38</v>
      </c>
      <c r="F22" s="3" t="s">
        <v>39</v>
      </c>
    </row>
    <row r="23" spans="1:6">
      <c r="A23" s="4" t="s">
        <v>40</v>
      </c>
      <c r="B23" s="5"/>
      <c r="C23" s="5"/>
      <c r="D23" s="6">
        <f>B23-C23</f>
        <v>0</v>
      </c>
      <c r="E23" s="7" t="str">
        <f>IF(C23=0,"N/A",(B23-C23)/C23)</f>
        <v>N/A</v>
      </c>
      <c r="F23" s="8" t="s">
        <v>41</v>
      </c>
    </row>
    <row r="24" spans="1:6">
      <c r="A24" s="9" t="s">
        <v>42</v>
      </c>
      <c r="B24" s="10"/>
      <c r="C24" s="10"/>
      <c r="D24" s="11">
        <f>B24-C24</f>
        <v>0</v>
      </c>
      <c r="E24" s="12" t="str">
        <f>IF(C24=0,"N/A",(B24-C24)/C24)</f>
        <v>N/A</v>
      </c>
      <c r="F24" s="13" t="s">
        <v>43</v>
      </c>
    </row>
    <row r="25" spans="1:6">
      <c r="A25" s="4" t="s">
        <v>44</v>
      </c>
      <c r="B25" s="5">
        <v>40000</v>
      </c>
      <c r="C25" s="5"/>
      <c r="D25" s="6">
        <f>B25-C25</f>
        <v>40000</v>
      </c>
      <c r="E25" s="7" t="str">
        <f>IF(C25=0,"N/A",(B25-C25)/C25)</f>
        <v>N/A</v>
      </c>
      <c r="F25" s="8" t="s">
        <v>45</v>
      </c>
    </row>
    <row r="26" spans="1:6">
      <c r="A26" s="9" t="s">
        <v>46</v>
      </c>
      <c r="B26" s="10">
        <v>3160</v>
      </c>
      <c r="C26" s="10"/>
      <c r="D26" s="11">
        <f>B26-C26</f>
        <v>3160</v>
      </c>
      <c r="E26" s="12" t="str">
        <f>IF(C26=0,"N/A",(B26-C26)/C26)</f>
        <v>N/A</v>
      </c>
      <c r="F26" s="13" t="s">
        <v>47</v>
      </c>
    </row>
    <row r="27" spans="1:6">
      <c r="A27" s="4" t="s">
        <v>48</v>
      </c>
      <c r="B27" s="5">
        <v>5000</v>
      </c>
      <c r="C27" s="5"/>
      <c r="D27" s="6">
        <f>B27-C27</f>
        <v>5000</v>
      </c>
      <c r="E27" s="7" t="str">
        <f>IF(C27=0,"N/A",(B27-C27)/C27)</f>
        <v>N/A</v>
      </c>
      <c r="F27" s="8" t="s">
        <v>49</v>
      </c>
    </row>
    <row r="28" spans="1:6">
      <c r="A28" s="9" t="s">
        <v>50</v>
      </c>
      <c r="B28" s="10">
        <v>7000</v>
      </c>
      <c r="C28" s="10"/>
      <c r="D28" s="11">
        <f>B28-C28</f>
        <v>7000</v>
      </c>
      <c r="E28" s="12" t="str">
        <f>IF(C28=0,"N/A",(B28-C28)/C28)</f>
        <v>N/A</v>
      </c>
      <c r="F28" s="13" t="s">
        <v>51</v>
      </c>
    </row>
    <row r="29" spans="1:6">
      <c r="A29" s="4" t="s">
        <v>52</v>
      </c>
      <c r="B29" s="5">
        <v>5000</v>
      </c>
      <c r="C29" s="5"/>
      <c r="D29" s="6">
        <f>B29-C29</f>
        <v>5000</v>
      </c>
      <c r="E29" s="7" t="str">
        <f>IF(C29=0,"N/A",(B29-C29)/C29)</f>
        <v>N/A</v>
      </c>
      <c r="F29" s="8" t="s">
        <v>53</v>
      </c>
    </row>
    <row r="30" spans="1:6">
      <c r="A30" s="9" t="s">
        <v>54</v>
      </c>
      <c r="B30" s="10">
        <v>1183</v>
      </c>
      <c r="C30" s="10"/>
      <c r="D30" s="11">
        <f>B30-C30</f>
        <v>1183</v>
      </c>
      <c r="E30" s="12" t="str">
        <f>IF(C30=0,"N/A",(B30-C30)/C30)</f>
        <v>N/A</v>
      </c>
      <c r="F30" s="13" t="s">
        <v>55</v>
      </c>
    </row>
    <row r="31" spans="1:6">
      <c r="A31" s="4" t="s">
        <v>56</v>
      </c>
      <c r="B31" s="5">
        <v>6400</v>
      </c>
      <c r="C31" s="5">
        <v>5000</v>
      </c>
      <c r="D31" s="6">
        <f>B31-C31</f>
        <v>1400</v>
      </c>
      <c r="E31" s="7">
        <f>IF(C31=0,"N/A",(B31-C31)/C31)</f>
        <v>0.28000000000000003</v>
      </c>
      <c r="F31" s="8" t="s">
        <v>57</v>
      </c>
    </row>
    <row r="32" spans="1:6">
      <c r="A32" s="9" t="s">
        <v>58</v>
      </c>
      <c r="B32" s="10">
        <v>51</v>
      </c>
      <c r="C32" s="10">
        <v>50</v>
      </c>
      <c r="D32" s="11">
        <f>B32-C32</f>
        <v>1</v>
      </c>
      <c r="E32" s="12">
        <f>IF(C32=0,"N/A",(B32-C32)/C32)</f>
        <v>0.02</v>
      </c>
      <c r="F32" s="13" t="s">
        <v>59</v>
      </c>
    </row>
    <row r="33" spans="1:6">
      <c r="A33" s="4" t="s">
        <v>60</v>
      </c>
      <c r="B33" s="5">
        <v>87</v>
      </c>
      <c r="C33" s="5"/>
      <c r="D33" s="6">
        <f>B33-C33</f>
        <v>87</v>
      </c>
      <c r="E33" s="7" t="str">
        <f>IF(C33=0,"N/A",(B33-C33)/C33)</f>
        <v>N/A</v>
      </c>
      <c r="F33" s="8" t="s">
        <v>61</v>
      </c>
    </row>
    <row r="34" spans="1:6">
      <c r="A34" s="9" t="s">
        <v>62</v>
      </c>
      <c r="B34" s="10"/>
      <c r="C34" s="10"/>
      <c r="D34" s="11">
        <f>B34-C34</f>
        <v>0</v>
      </c>
      <c r="E34" s="12" t="str">
        <f>IF(C34=0,"N/A",(B34-C34)/C34)</f>
        <v>N/A</v>
      </c>
      <c r="F34" s="13" t="s">
        <v>63</v>
      </c>
    </row>
    <row r="35" spans="1:6">
      <c r="A35" s="4" t="s">
        <v>64</v>
      </c>
      <c r="B35" s="5"/>
      <c r="C35" s="5"/>
      <c r="D35" s="6">
        <f>B35-C35</f>
        <v>0</v>
      </c>
      <c r="E35" s="7" t="str">
        <f>IF(C35=0,"N/A",(B35-C35)/C35)</f>
        <v>N/A</v>
      </c>
      <c r="F35" s="8" t="s">
        <v>65</v>
      </c>
    </row>
    <row r="36" spans="1:6">
      <c r="A36" s="9" t="s">
        <v>66</v>
      </c>
      <c r="B36" s="10"/>
      <c r="C36" s="10"/>
      <c r="D36" s="11">
        <f>B36-C36</f>
        <v>0</v>
      </c>
      <c r="E36" s="12" t="str">
        <f>IF(C36=0,"N/A",(B36-C36)/C36)</f>
        <v>N/A</v>
      </c>
      <c r="F36" s="13" t="s">
        <v>67</v>
      </c>
    </row>
    <row r="38" spans="1:6">
      <c r="A38" s="34" t="s">
        <v>68</v>
      </c>
      <c r="B38" s="32"/>
      <c r="C38" s="32"/>
      <c r="D38" s="32"/>
      <c r="E38" s="32"/>
      <c r="F38" s="32"/>
    </row>
    <row r="39" spans="1:6">
      <c r="A39" s="31" t="s">
        <v>69</v>
      </c>
      <c r="B39" s="32"/>
      <c r="C39" s="32"/>
      <c r="D39" s="32"/>
      <c r="E39" s="32"/>
      <c r="F39" s="32"/>
    </row>
    <row r="40" spans="1:6">
      <c r="A40" s="32"/>
      <c r="B40" s="32"/>
      <c r="C40" s="32"/>
      <c r="D40" s="32"/>
      <c r="E40" s="32"/>
      <c r="F40" s="32"/>
    </row>
    <row r="41" spans="1:6">
      <c r="A41" s="32"/>
      <c r="B41" s="32"/>
      <c r="C41" s="32"/>
      <c r="D41" s="32"/>
      <c r="E41" s="32"/>
      <c r="F41" s="32"/>
    </row>
    <row r="43" spans="1:6">
      <c r="A43" s="35" t="s">
        <v>70</v>
      </c>
      <c r="B43" s="32"/>
      <c r="C43" s="32"/>
      <c r="D43" s="32"/>
      <c r="E43" s="32"/>
      <c r="F43" s="32"/>
    </row>
  </sheetData>
  <mergeCells count="7">
    <mergeCell ref="A39:F41"/>
    <mergeCell ref="A43:F43"/>
    <mergeCell ref="A4:B4"/>
    <mergeCell ref="A2:F2"/>
    <mergeCell ref="A38:F38"/>
    <mergeCell ref="A21:E21"/>
    <mergeCell ref="A1:F1"/>
  </mergeCells>
  <pageMargins left="0.75" right="0.75" top="1" bottom="1" header="0.5" footer="0.5"/>
  <headerFooter>
    <oddFooter>&amp;C_x000D_&amp;1#&amp;"Aptos"&amp;9&amp;K000000 Information Classification: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8"/>
  <sheetViews>
    <sheetView tabSelected="1" workbookViewId="0">
      <pane ySplit="4" topLeftCell="A20" activePane="bottomLeft" state="frozen"/>
      <selection pane="bottomLeft" activeCell="B45" sqref="B44:B45"/>
    </sheetView>
  </sheetViews>
  <sheetFormatPr defaultRowHeight="15"/>
  <cols>
    <col min="1" max="1" width="5" customWidth="1"/>
    <col min="2" max="2" width="40" customWidth="1"/>
    <col min="3" max="4" width="18" customWidth="1"/>
    <col min="5" max="5" width="25" customWidth="1"/>
    <col min="6" max="6" width="16" customWidth="1"/>
    <col min="7" max="7" width="20" customWidth="1"/>
    <col min="8" max="9" width="14" customWidth="1"/>
    <col min="10" max="10" width="12" customWidth="1"/>
    <col min="11" max="11" width="16" customWidth="1"/>
    <col min="12" max="12" width="14" customWidth="1"/>
    <col min="13" max="13" width="18" customWidth="1"/>
    <col min="14" max="14" width="12" customWidth="1"/>
    <col min="15" max="15" width="20" customWidth="1"/>
    <col min="16" max="16" width="18" customWidth="1"/>
    <col min="17" max="17" width="12" customWidth="1"/>
    <col min="18" max="18" width="14" customWidth="1"/>
    <col min="19" max="19" width="28" customWidth="1"/>
    <col min="20" max="21" width="45" customWidth="1"/>
    <col min="22" max="22" width="18" customWidth="1"/>
  </cols>
  <sheetData>
    <row r="1" spans="1:22">
      <c r="A1" s="36" t="s">
        <v>71</v>
      </c>
      <c r="B1" s="32"/>
      <c r="C1" s="32"/>
      <c r="D1" s="32"/>
      <c r="E1" s="32"/>
      <c r="F1" s="32"/>
      <c r="G1" s="32"/>
      <c r="H1" s="32"/>
      <c r="I1" s="32"/>
      <c r="J1" s="32"/>
      <c r="K1" s="32"/>
      <c r="L1" s="32"/>
      <c r="M1" s="32"/>
      <c r="N1" s="32"/>
      <c r="O1" s="32"/>
      <c r="P1" s="32"/>
      <c r="Q1" s="32"/>
      <c r="R1" s="32"/>
      <c r="S1" s="32"/>
      <c r="T1" s="32"/>
      <c r="U1" s="32"/>
      <c r="V1" s="32"/>
    </row>
    <row r="2" spans="1:22">
      <c r="A2" s="33" t="s">
        <v>72</v>
      </c>
      <c r="B2" s="32"/>
      <c r="C2" s="32"/>
      <c r="D2" s="32"/>
      <c r="E2" s="32"/>
      <c r="F2" s="32"/>
      <c r="G2" s="32"/>
      <c r="H2" s="32"/>
      <c r="I2" s="32"/>
      <c r="J2" s="32"/>
      <c r="K2" s="32"/>
      <c r="L2" s="32"/>
      <c r="M2" s="32"/>
      <c r="N2" s="32"/>
      <c r="O2" s="32"/>
      <c r="P2" s="32"/>
      <c r="Q2" s="32"/>
      <c r="R2" s="32"/>
      <c r="S2" s="32"/>
      <c r="T2" s="32"/>
      <c r="U2" s="32"/>
      <c r="V2" s="32"/>
    </row>
    <row r="4" spans="1:22">
      <c r="A4" s="3" t="s">
        <v>73</v>
      </c>
      <c r="B4" s="3" t="s">
        <v>74</v>
      </c>
      <c r="C4" s="3" t="s">
        <v>75</v>
      </c>
      <c r="D4" s="3" t="s">
        <v>76</v>
      </c>
      <c r="E4" s="3" t="s">
        <v>77</v>
      </c>
      <c r="F4" s="3" t="s">
        <v>78</v>
      </c>
      <c r="G4" s="3" t="s">
        <v>79</v>
      </c>
      <c r="H4" s="3" t="s">
        <v>80</v>
      </c>
      <c r="I4" s="3" t="s">
        <v>81</v>
      </c>
      <c r="J4" s="3" t="s">
        <v>82</v>
      </c>
      <c r="K4" s="3" t="s">
        <v>83</v>
      </c>
      <c r="L4" s="3" t="s">
        <v>84</v>
      </c>
      <c r="M4" s="3" t="s">
        <v>85</v>
      </c>
      <c r="N4" s="3" t="s">
        <v>86</v>
      </c>
      <c r="O4" s="3" t="s">
        <v>87</v>
      </c>
      <c r="P4" s="3" t="s">
        <v>88</v>
      </c>
      <c r="Q4" s="3" t="s">
        <v>89</v>
      </c>
      <c r="R4" s="3" t="s">
        <v>90</v>
      </c>
      <c r="S4" s="3" t="s">
        <v>91</v>
      </c>
      <c r="T4" s="3" t="s">
        <v>92</v>
      </c>
      <c r="U4" s="3" t="s">
        <v>39</v>
      </c>
      <c r="V4" s="3" t="s">
        <v>93</v>
      </c>
    </row>
    <row r="5" spans="1:22">
      <c r="A5" s="14">
        <v>1</v>
      </c>
      <c r="B5" s="15" t="s">
        <v>94</v>
      </c>
      <c r="C5" s="14" t="s">
        <v>95</v>
      </c>
      <c r="D5" s="14" t="s">
        <v>96</v>
      </c>
      <c r="E5" s="14" t="s">
        <v>97</v>
      </c>
      <c r="F5" s="14" t="s">
        <v>98</v>
      </c>
      <c r="G5" s="14" t="s">
        <v>99</v>
      </c>
      <c r="H5" s="14" t="s">
        <v>10</v>
      </c>
      <c r="I5" s="16">
        <v>60</v>
      </c>
      <c r="J5" s="14" t="s">
        <v>100</v>
      </c>
      <c r="K5" s="17" t="s">
        <v>101</v>
      </c>
      <c r="L5" s="14">
        <v>2017</v>
      </c>
      <c r="M5" s="14" t="s">
        <v>36</v>
      </c>
      <c r="N5" s="18">
        <v>1</v>
      </c>
      <c r="O5" s="14" t="s">
        <v>36</v>
      </c>
      <c r="P5" s="14" t="s">
        <v>36</v>
      </c>
      <c r="Q5" s="14" t="s">
        <v>36</v>
      </c>
      <c r="R5" s="14" t="s">
        <v>36</v>
      </c>
      <c r="S5" s="15" t="s">
        <v>102</v>
      </c>
      <c r="T5" s="15" t="s">
        <v>103</v>
      </c>
      <c r="U5" s="15" t="s">
        <v>104</v>
      </c>
      <c r="V5" s="19" t="s">
        <v>105</v>
      </c>
    </row>
    <row r="6" spans="1:22">
      <c r="A6" s="20">
        <v>2</v>
      </c>
      <c r="B6" s="21" t="s">
        <v>106</v>
      </c>
      <c r="C6" s="20" t="s">
        <v>95</v>
      </c>
      <c r="D6" s="20" t="s">
        <v>96</v>
      </c>
      <c r="E6" s="20" t="s">
        <v>107</v>
      </c>
      <c r="F6" s="20" t="s">
        <v>98</v>
      </c>
      <c r="G6" s="20" t="s">
        <v>99</v>
      </c>
      <c r="H6" s="20" t="s">
        <v>10</v>
      </c>
      <c r="I6" s="22">
        <v>36</v>
      </c>
      <c r="J6" s="20" t="s">
        <v>108</v>
      </c>
      <c r="K6" s="17" t="s">
        <v>101</v>
      </c>
      <c r="L6" s="20" t="s">
        <v>36</v>
      </c>
      <c r="M6" s="20" t="s">
        <v>36</v>
      </c>
      <c r="N6" s="23">
        <v>1</v>
      </c>
      <c r="O6" s="20" t="s">
        <v>36</v>
      </c>
      <c r="P6" s="20" t="s">
        <v>36</v>
      </c>
      <c r="Q6" s="20" t="s">
        <v>36</v>
      </c>
      <c r="R6" s="20" t="s">
        <v>36</v>
      </c>
      <c r="S6" s="21" t="s">
        <v>102</v>
      </c>
      <c r="T6" s="21" t="s">
        <v>109</v>
      </c>
      <c r="U6" s="21" t="s">
        <v>110</v>
      </c>
      <c r="V6" s="19" t="s">
        <v>105</v>
      </c>
    </row>
    <row r="7" spans="1:22">
      <c r="A7" s="14">
        <v>3</v>
      </c>
      <c r="B7" s="15" t="s">
        <v>111</v>
      </c>
      <c r="C7" s="14" t="s">
        <v>95</v>
      </c>
      <c r="D7" s="14" t="s">
        <v>96</v>
      </c>
      <c r="E7" s="14" t="s">
        <v>107</v>
      </c>
      <c r="F7" s="14" t="s">
        <v>112</v>
      </c>
      <c r="G7" s="14" t="s">
        <v>99</v>
      </c>
      <c r="H7" s="14" t="s">
        <v>10</v>
      </c>
      <c r="I7" s="14" t="s">
        <v>36</v>
      </c>
      <c r="J7" s="14" t="s">
        <v>36</v>
      </c>
      <c r="K7" s="17" t="s">
        <v>101</v>
      </c>
      <c r="L7" s="14" t="s">
        <v>36</v>
      </c>
      <c r="M7" s="14" t="s">
        <v>36</v>
      </c>
      <c r="N7" s="18">
        <v>1</v>
      </c>
      <c r="O7" s="14" t="s">
        <v>36</v>
      </c>
      <c r="P7" s="14" t="s">
        <v>36</v>
      </c>
      <c r="Q7" s="14" t="s">
        <v>36</v>
      </c>
      <c r="R7" s="14" t="s">
        <v>36</v>
      </c>
      <c r="S7" s="15" t="s">
        <v>4</v>
      </c>
      <c r="T7" s="15" t="s">
        <v>113</v>
      </c>
      <c r="U7" s="15" t="s">
        <v>114</v>
      </c>
      <c r="V7" s="24" t="s">
        <v>115</v>
      </c>
    </row>
    <row r="8" spans="1:22">
      <c r="A8" s="20">
        <v>4</v>
      </c>
      <c r="B8" s="21" t="s">
        <v>116</v>
      </c>
      <c r="C8" s="20" t="s">
        <v>95</v>
      </c>
      <c r="D8" s="20" t="s">
        <v>96</v>
      </c>
      <c r="E8" s="20" t="s">
        <v>117</v>
      </c>
      <c r="F8" s="20" t="s">
        <v>98</v>
      </c>
      <c r="G8" s="20" t="s">
        <v>99</v>
      </c>
      <c r="H8" s="20" t="s">
        <v>10</v>
      </c>
      <c r="I8" s="20" t="s">
        <v>36</v>
      </c>
      <c r="J8" s="20" t="s">
        <v>36</v>
      </c>
      <c r="K8" s="17" t="s">
        <v>101</v>
      </c>
      <c r="L8" s="20" t="s">
        <v>36</v>
      </c>
      <c r="M8" s="20" t="s">
        <v>36</v>
      </c>
      <c r="N8" s="23">
        <v>1</v>
      </c>
      <c r="O8" s="20" t="s">
        <v>36</v>
      </c>
      <c r="P8" s="20" t="s">
        <v>36</v>
      </c>
      <c r="Q8" s="20" t="s">
        <v>36</v>
      </c>
      <c r="R8" s="20" t="s">
        <v>36</v>
      </c>
      <c r="S8" s="21" t="s">
        <v>4</v>
      </c>
      <c r="T8" s="21" t="s">
        <v>118</v>
      </c>
      <c r="U8" s="21" t="s">
        <v>119</v>
      </c>
      <c r="V8" s="19" t="s">
        <v>105</v>
      </c>
    </row>
    <row r="9" spans="1:22">
      <c r="A9" s="14">
        <v>5</v>
      </c>
      <c r="B9" s="15" t="s">
        <v>120</v>
      </c>
      <c r="C9" s="14" t="s">
        <v>121</v>
      </c>
      <c r="D9" s="14" t="s">
        <v>122</v>
      </c>
      <c r="E9" s="14" t="s">
        <v>123</v>
      </c>
      <c r="F9" s="14" t="s">
        <v>98</v>
      </c>
      <c r="G9" s="14" t="s">
        <v>99</v>
      </c>
      <c r="H9" s="14" t="s">
        <v>10</v>
      </c>
      <c r="I9" s="14" t="s">
        <v>36</v>
      </c>
      <c r="J9" s="14" t="s">
        <v>36</v>
      </c>
      <c r="K9" s="17" t="s">
        <v>101</v>
      </c>
      <c r="L9" s="14" t="s">
        <v>36</v>
      </c>
      <c r="M9" s="14" t="s">
        <v>36</v>
      </c>
      <c r="N9" s="18">
        <v>1</v>
      </c>
      <c r="O9" s="14" t="s">
        <v>36</v>
      </c>
      <c r="P9" s="14" t="s">
        <v>36</v>
      </c>
      <c r="Q9" s="14" t="s">
        <v>36</v>
      </c>
      <c r="R9" s="14" t="s">
        <v>36</v>
      </c>
      <c r="S9" s="15" t="s">
        <v>4</v>
      </c>
      <c r="T9" s="15" t="s">
        <v>124</v>
      </c>
      <c r="U9" s="15" t="s">
        <v>125</v>
      </c>
      <c r="V9" s="25" t="s">
        <v>126</v>
      </c>
    </row>
    <row r="10" spans="1:22">
      <c r="A10" s="20">
        <v>6</v>
      </c>
      <c r="B10" s="21" t="s">
        <v>127</v>
      </c>
      <c r="C10" s="20" t="s">
        <v>128</v>
      </c>
      <c r="D10" s="20" t="s">
        <v>96</v>
      </c>
      <c r="E10" s="20" t="s">
        <v>129</v>
      </c>
      <c r="F10" s="20" t="s">
        <v>130</v>
      </c>
      <c r="G10" s="20" t="s">
        <v>99</v>
      </c>
      <c r="H10" s="20" t="s">
        <v>10</v>
      </c>
      <c r="I10" s="22">
        <v>540</v>
      </c>
      <c r="J10" s="20" t="s">
        <v>131</v>
      </c>
      <c r="K10" s="26" t="s">
        <v>132</v>
      </c>
      <c r="L10" s="20" t="s">
        <v>36</v>
      </c>
      <c r="M10" s="20" t="s">
        <v>133</v>
      </c>
      <c r="N10" s="23">
        <v>1</v>
      </c>
      <c r="O10" s="20" t="s">
        <v>36</v>
      </c>
      <c r="P10" s="20">
        <v>5000</v>
      </c>
      <c r="Q10" s="20" t="s">
        <v>12</v>
      </c>
      <c r="R10" s="17" t="s">
        <v>134</v>
      </c>
      <c r="S10" s="21" t="s">
        <v>4</v>
      </c>
      <c r="T10" s="21" t="s">
        <v>135</v>
      </c>
      <c r="U10" s="21" t="s">
        <v>136</v>
      </c>
      <c r="V10" s="19" t="s">
        <v>105</v>
      </c>
    </row>
    <row r="11" spans="1:22">
      <c r="A11" s="14">
        <v>7</v>
      </c>
      <c r="B11" s="15" t="s">
        <v>137</v>
      </c>
      <c r="C11" s="14" t="s">
        <v>138</v>
      </c>
      <c r="D11" s="14" t="s">
        <v>96</v>
      </c>
      <c r="E11" s="14" t="s">
        <v>139</v>
      </c>
      <c r="F11" s="14" t="s">
        <v>140</v>
      </c>
      <c r="G11" s="14" t="s">
        <v>141</v>
      </c>
      <c r="H11" s="14" t="s">
        <v>10</v>
      </c>
      <c r="I11" s="16">
        <v>2000</v>
      </c>
      <c r="J11" s="14" t="s">
        <v>142</v>
      </c>
      <c r="K11" s="26" t="s">
        <v>132</v>
      </c>
      <c r="L11" s="14" t="s">
        <v>36</v>
      </c>
      <c r="M11" s="14" t="s">
        <v>143</v>
      </c>
      <c r="N11" s="18">
        <v>1</v>
      </c>
      <c r="O11" s="14" t="s">
        <v>36</v>
      </c>
      <c r="P11" s="14">
        <v>10000</v>
      </c>
      <c r="Q11" s="14" t="s">
        <v>12</v>
      </c>
      <c r="R11" s="17" t="s">
        <v>134</v>
      </c>
      <c r="S11" s="15" t="s">
        <v>4</v>
      </c>
      <c r="T11" s="15" t="s">
        <v>144</v>
      </c>
      <c r="U11" s="15" t="s">
        <v>145</v>
      </c>
      <c r="V11" s="19" t="s">
        <v>105</v>
      </c>
    </row>
    <row r="12" spans="1:22">
      <c r="A12" s="20">
        <v>8</v>
      </c>
      <c r="B12" s="21" t="s">
        <v>146</v>
      </c>
      <c r="C12" s="20" t="s">
        <v>147</v>
      </c>
      <c r="D12" s="20" t="s">
        <v>96</v>
      </c>
      <c r="E12" s="20" t="s">
        <v>148</v>
      </c>
      <c r="F12" s="20" t="s">
        <v>149</v>
      </c>
      <c r="G12" s="20" t="s">
        <v>150</v>
      </c>
      <c r="H12" s="20" t="s">
        <v>10</v>
      </c>
      <c r="I12" s="22">
        <v>60</v>
      </c>
      <c r="J12" s="20" t="s">
        <v>108</v>
      </c>
      <c r="K12" s="17" t="s">
        <v>101</v>
      </c>
      <c r="L12" s="20">
        <v>2019</v>
      </c>
      <c r="M12" s="20" t="s">
        <v>36</v>
      </c>
      <c r="N12" s="23">
        <v>1</v>
      </c>
      <c r="O12" s="20" t="s">
        <v>36</v>
      </c>
      <c r="P12" s="20" t="s">
        <v>36</v>
      </c>
      <c r="Q12" s="20" t="s">
        <v>36</v>
      </c>
      <c r="R12" s="20" t="s">
        <v>36</v>
      </c>
      <c r="S12" s="21" t="s">
        <v>151</v>
      </c>
      <c r="T12" s="21" t="s">
        <v>152</v>
      </c>
      <c r="U12" s="21" t="s">
        <v>153</v>
      </c>
      <c r="V12" s="19" t="s">
        <v>105</v>
      </c>
    </row>
    <row r="13" spans="1:22">
      <c r="A13" s="14">
        <v>9</v>
      </c>
      <c r="B13" s="15" t="s">
        <v>154</v>
      </c>
      <c r="C13" s="14" t="s">
        <v>147</v>
      </c>
      <c r="D13" s="14" t="s">
        <v>96</v>
      </c>
      <c r="E13" s="14" t="s">
        <v>148</v>
      </c>
      <c r="F13" s="14" t="s">
        <v>149</v>
      </c>
      <c r="G13" s="14" t="s">
        <v>150</v>
      </c>
      <c r="H13" s="14" t="s">
        <v>10</v>
      </c>
      <c r="I13" s="16">
        <v>120</v>
      </c>
      <c r="J13" s="14" t="s">
        <v>108</v>
      </c>
      <c r="K13" s="17" t="s">
        <v>101</v>
      </c>
      <c r="L13" s="14">
        <v>2020</v>
      </c>
      <c r="M13" s="14" t="s">
        <v>36</v>
      </c>
      <c r="N13" s="18">
        <v>1</v>
      </c>
      <c r="O13" s="14" t="s">
        <v>36</v>
      </c>
      <c r="P13" s="14" t="s">
        <v>36</v>
      </c>
      <c r="Q13" s="14" t="s">
        <v>36</v>
      </c>
      <c r="R13" s="14" t="s">
        <v>36</v>
      </c>
      <c r="S13" s="15" t="s">
        <v>151</v>
      </c>
      <c r="T13" s="15" t="s">
        <v>155</v>
      </c>
      <c r="U13" s="15" t="s">
        <v>156</v>
      </c>
      <c r="V13" s="19" t="s">
        <v>105</v>
      </c>
    </row>
    <row r="14" spans="1:22">
      <c r="A14" s="20">
        <v>10</v>
      </c>
      <c r="B14" s="21" t="s">
        <v>157</v>
      </c>
      <c r="C14" s="20" t="s">
        <v>147</v>
      </c>
      <c r="D14" s="20" t="s">
        <v>96</v>
      </c>
      <c r="E14" s="20" t="s">
        <v>158</v>
      </c>
      <c r="F14" s="20" t="s">
        <v>159</v>
      </c>
      <c r="G14" s="20" t="s">
        <v>150</v>
      </c>
      <c r="H14" s="20" t="s">
        <v>10</v>
      </c>
      <c r="I14" s="22">
        <v>72</v>
      </c>
      <c r="J14" s="20" t="s">
        <v>108</v>
      </c>
      <c r="K14" s="17" t="s">
        <v>101</v>
      </c>
      <c r="L14" s="20" t="s">
        <v>36</v>
      </c>
      <c r="M14" s="20" t="s">
        <v>36</v>
      </c>
      <c r="N14" s="23">
        <v>1</v>
      </c>
      <c r="O14" s="20" t="s">
        <v>36</v>
      </c>
      <c r="P14" s="20" t="s">
        <v>36</v>
      </c>
      <c r="Q14" s="20" t="s">
        <v>36</v>
      </c>
      <c r="R14" s="20" t="s">
        <v>36</v>
      </c>
      <c r="S14" s="21" t="s">
        <v>4</v>
      </c>
      <c r="T14" s="21" t="s">
        <v>160</v>
      </c>
      <c r="U14" s="21" t="s">
        <v>161</v>
      </c>
      <c r="V14" s="19" t="s">
        <v>105</v>
      </c>
    </row>
    <row r="15" spans="1:22">
      <c r="A15" s="14">
        <v>11</v>
      </c>
      <c r="B15" s="15" t="s">
        <v>162</v>
      </c>
      <c r="C15" s="14" t="s">
        <v>163</v>
      </c>
      <c r="D15" s="14" t="s">
        <v>96</v>
      </c>
      <c r="E15" s="14" t="s">
        <v>164</v>
      </c>
      <c r="F15" s="14" t="s">
        <v>165</v>
      </c>
      <c r="G15" s="14" t="s">
        <v>166</v>
      </c>
      <c r="H15" s="14" t="s">
        <v>10</v>
      </c>
      <c r="I15" s="14" t="s">
        <v>36</v>
      </c>
      <c r="J15" s="14" t="s">
        <v>36</v>
      </c>
      <c r="K15" s="17" t="s">
        <v>101</v>
      </c>
      <c r="L15" s="14" t="s">
        <v>36</v>
      </c>
      <c r="M15" s="14" t="s">
        <v>36</v>
      </c>
      <c r="N15" s="18">
        <v>1</v>
      </c>
      <c r="O15" s="14" t="s">
        <v>36</v>
      </c>
      <c r="P15" s="14" t="s">
        <v>36</v>
      </c>
      <c r="Q15" s="14" t="s">
        <v>36</v>
      </c>
      <c r="R15" s="14" t="s">
        <v>36</v>
      </c>
      <c r="S15" s="15" t="s">
        <v>4</v>
      </c>
      <c r="T15" s="15" t="s">
        <v>167</v>
      </c>
      <c r="U15" s="15" t="s">
        <v>168</v>
      </c>
      <c r="V15" s="24" t="s">
        <v>115</v>
      </c>
    </row>
    <row r="16" spans="1:22">
      <c r="A16" s="20">
        <v>12</v>
      </c>
      <c r="B16" s="21" t="s">
        <v>169</v>
      </c>
      <c r="C16" s="20" t="s">
        <v>170</v>
      </c>
      <c r="D16" s="20" t="s">
        <v>96</v>
      </c>
      <c r="E16" s="20" t="s">
        <v>171</v>
      </c>
      <c r="F16" s="20" t="s">
        <v>172</v>
      </c>
      <c r="G16" s="20" t="s">
        <v>173</v>
      </c>
      <c r="H16" s="20" t="s">
        <v>10</v>
      </c>
      <c r="I16" s="22">
        <v>180</v>
      </c>
      <c r="J16" s="20" t="s">
        <v>174</v>
      </c>
      <c r="K16" s="17" t="s">
        <v>101</v>
      </c>
      <c r="L16" s="20" t="s">
        <v>36</v>
      </c>
      <c r="M16" s="20" t="s">
        <v>36</v>
      </c>
      <c r="N16" s="23">
        <v>1</v>
      </c>
      <c r="O16" s="20" t="s">
        <v>36</v>
      </c>
      <c r="P16" s="20" t="s">
        <v>36</v>
      </c>
      <c r="Q16" s="20" t="s">
        <v>36</v>
      </c>
      <c r="R16" s="20" t="s">
        <v>36</v>
      </c>
      <c r="S16" s="21" t="s">
        <v>4</v>
      </c>
      <c r="T16" s="21" t="s">
        <v>175</v>
      </c>
      <c r="U16" s="21" t="s">
        <v>176</v>
      </c>
      <c r="V16" s="19" t="s">
        <v>105</v>
      </c>
    </row>
    <row r="17" spans="1:22">
      <c r="A17" s="14">
        <v>13</v>
      </c>
      <c r="B17" s="15" t="s">
        <v>177</v>
      </c>
      <c r="C17" s="14" t="s">
        <v>170</v>
      </c>
      <c r="D17" s="14" t="s">
        <v>96</v>
      </c>
      <c r="E17" s="14" t="s">
        <v>178</v>
      </c>
      <c r="F17" s="14" t="s">
        <v>179</v>
      </c>
      <c r="G17" s="14" t="s">
        <v>173</v>
      </c>
      <c r="H17" s="14" t="s">
        <v>10</v>
      </c>
      <c r="I17" s="14" t="s">
        <v>36</v>
      </c>
      <c r="J17" s="14" t="s">
        <v>36</v>
      </c>
      <c r="K17" s="17" t="s">
        <v>101</v>
      </c>
      <c r="L17" s="14" t="s">
        <v>36</v>
      </c>
      <c r="M17" s="14" t="s">
        <v>36</v>
      </c>
      <c r="N17" s="18">
        <v>1</v>
      </c>
      <c r="O17" s="14" t="s">
        <v>36</v>
      </c>
      <c r="P17" s="14" t="s">
        <v>36</v>
      </c>
      <c r="Q17" s="14" t="s">
        <v>36</v>
      </c>
      <c r="R17" s="14" t="s">
        <v>36</v>
      </c>
      <c r="S17" s="15" t="s">
        <v>4</v>
      </c>
      <c r="T17" s="15" t="s">
        <v>180</v>
      </c>
      <c r="U17" s="15" t="s">
        <v>181</v>
      </c>
      <c r="V17" s="24" t="s">
        <v>115</v>
      </c>
    </row>
    <row r="18" spans="1:22">
      <c r="A18" s="20">
        <v>14</v>
      </c>
      <c r="B18" s="21" t="s">
        <v>182</v>
      </c>
      <c r="C18" s="20" t="s">
        <v>170</v>
      </c>
      <c r="D18" s="20" t="s">
        <v>96</v>
      </c>
      <c r="E18" s="20" t="s">
        <v>148</v>
      </c>
      <c r="F18" s="20" t="s">
        <v>172</v>
      </c>
      <c r="G18" s="20" t="s">
        <v>173</v>
      </c>
      <c r="H18" s="20" t="s">
        <v>10</v>
      </c>
      <c r="I18" s="20" t="s">
        <v>36</v>
      </c>
      <c r="J18" s="20" t="s">
        <v>36</v>
      </c>
      <c r="K18" s="17" t="s">
        <v>101</v>
      </c>
      <c r="L18" s="20" t="s">
        <v>36</v>
      </c>
      <c r="M18" s="20" t="s">
        <v>36</v>
      </c>
      <c r="N18" s="23">
        <v>1</v>
      </c>
      <c r="O18" s="20" t="s">
        <v>36</v>
      </c>
      <c r="P18" s="20" t="s">
        <v>36</v>
      </c>
      <c r="Q18" s="20" t="s">
        <v>36</v>
      </c>
      <c r="R18" s="20" t="s">
        <v>36</v>
      </c>
      <c r="S18" s="21" t="s">
        <v>4</v>
      </c>
      <c r="T18" s="21" t="s">
        <v>183</v>
      </c>
      <c r="U18" s="21" t="s">
        <v>181</v>
      </c>
      <c r="V18" s="24" t="s">
        <v>115</v>
      </c>
    </row>
    <row r="19" spans="1:22">
      <c r="A19" s="14">
        <v>15</v>
      </c>
      <c r="B19" s="15" t="s">
        <v>184</v>
      </c>
      <c r="C19" s="14" t="s">
        <v>170</v>
      </c>
      <c r="D19" s="14" t="s">
        <v>96</v>
      </c>
      <c r="E19" s="14" t="s">
        <v>178</v>
      </c>
      <c r="F19" s="14" t="s">
        <v>179</v>
      </c>
      <c r="G19" s="14" t="s">
        <v>173</v>
      </c>
      <c r="H19" s="14" t="s">
        <v>10</v>
      </c>
      <c r="I19" s="14" t="s">
        <v>36</v>
      </c>
      <c r="J19" s="14" t="s">
        <v>36</v>
      </c>
      <c r="K19" s="17" t="s">
        <v>101</v>
      </c>
      <c r="L19" s="14" t="s">
        <v>36</v>
      </c>
      <c r="M19" s="14" t="s">
        <v>36</v>
      </c>
      <c r="N19" s="18">
        <v>1</v>
      </c>
      <c r="O19" s="14" t="s">
        <v>36</v>
      </c>
      <c r="P19" s="14" t="s">
        <v>36</v>
      </c>
      <c r="Q19" s="14" t="s">
        <v>36</v>
      </c>
      <c r="R19" s="14" t="s">
        <v>36</v>
      </c>
      <c r="S19" s="15" t="s">
        <v>4</v>
      </c>
      <c r="T19" s="15" t="s">
        <v>185</v>
      </c>
      <c r="U19" s="15" t="s">
        <v>181</v>
      </c>
      <c r="V19" s="24" t="s">
        <v>115</v>
      </c>
    </row>
    <row r="20" spans="1:22">
      <c r="A20" s="20">
        <v>16</v>
      </c>
      <c r="B20" s="21" t="s">
        <v>186</v>
      </c>
      <c r="C20" s="20" t="s">
        <v>170</v>
      </c>
      <c r="D20" s="20" t="s">
        <v>96</v>
      </c>
      <c r="E20" s="20" t="s">
        <v>187</v>
      </c>
      <c r="F20" s="20" t="s">
        <v>188</v>
      </c>
      <c r="G20" s="20" t="s">
        <v>173</v>
      </c>
      <c r="H20" s="20" t="s">
        <v>10</v>
      </c>
      <c r="I20" s="20" t="s">
        <v>36</v>
      </c>
      <c r="J20" s="20" t="s">
        <v>36</v>
      </c>
      <c r="K20" s="17" t="s">
        <v>101</v>
      </c>
      <c r="L20" s="20" t="s">
        <v>36</v>
      </c>
      <c r="M20" s="20" t="s">
        <v>36</v>
      </c>
      <c r="N20" s="23">
        <v>1</v>
      </c>
      <c r="O20" s="20" t="s">
        <v>36</v>
      </c>
      <c r="P20" s="20" t="s">
        <v>36</v>
      </c>
      <c r="Q20" s="20" t="s">
        <v>36</v>
      </c>
      <c r="R20" s="20" t="s">
        <v>36</v>
      </c>
      <c r="S20" s="21" t="s">
        <v>4</v>
      </c>
      <c r="T20" s="21" t="s">
        <v>189</v>
      </c>
      <c r="U20" s="21" t="s">
        <v>181</v>
      </c>
      <c r="V20" s="24" t="s">
        <v>115</v>
      </c>
    </row>
    <row r="21" spans="1:22">
      <c r="A21" s="14">
        <v>17</v>
      </c>
      <c r="B21" s="15" t="s">
        <v>190</v>
      </c>
      <c r="C21" s="14" t="s">
        <v>191</v>
      </c>
      <c r="D21" s="14" t="s">
        <v>96</v>
      </c>
      <c r="E21" s="14" t="s">
        <v>192</v>
      </c>
      <c r="F21" s="14" t="s">
        <v>193</v>
      </c>
      <c r="G21" s="14" t="s">
        <v>194</v>
      </c>
      <c r="H21" s="14" t="s">
        <v>10</v>
      </c>
      <c r="I21" s="16">
        <v>34</v>
      </c>
      <c r="J21" s="14" t="s">
        <v>108</v>
      </c>
      <c r="K21" s="17" t="s">
        <v>101</v>
      </c>
      <c r="L21" s="14">
        <v>2018</v>
      </c>
      <c r="M21" s="14" t="s">
        <v>36</v>
      </c>
      <c r="N21" s="18">
        <v>1</v>
      </c>
      <c r="O21" s="14" t="s">
        <v>36</v>
      </c>
      <c r="P21" s="14" t="s">
        <v>36</v>
      </c>
      <c r="Q21" s="14" t="s">
        <v>36</v>
      </c>
      <c r="R21" s="14" t="s">
        <v>36</v>
      </c>
      <c r="S21" s="15" t="s">
        <v>4</v>
      </c>
      <c r="T21" s="15" t="s">
        <v>195</v>
      </c>
      <c r="U21" s="15" t="s">
        <v>196</v>
      </c>
      <c r="V21" s="19" t="s">
        <v>105</v>
      </c>
    </row>
    <row r="22" spans="1:22">
      <c r="A22" s="20">
        <v>18</v>
      </c>
      <c r="B22" s="21" t="s">
        <v>197</v>
      </c>
      <c r="C22" s="20" t="s">
        <v>191</v>
      </c>
      <c r="D22" s="20" t="s">
        <v>96</v>
      </c>
      <c r="E22" s="20" t="s">
        <v>198</v>
      </c>
      <c r="F22" s="20" t="s">
        <v>193</v>
      </c>
      <c r="G22" s="20" t="s">
        <v>194</v>
      </c>
      <c r="H22" s="20" t="s">
        <v>10</v>
      </c>
      <c r="I22" s="22">
        <v>48</v>
      </c>
      <c r="J22" s="20" t="s">
        <v>199</v>
      </c>
      <c r="K22" s="17" t="s">
        <v>101</v>
      </c>
      <c r="L22" s="20">
        <v>2021</v>
      </c>
      <c r="M22" s="20" t="s">
        <v>36</v>
      </c>
      <c r="N22" s="23">
        <v>1</v>
      </c>
      <c r="O22" s="20" t="s">
        <v>36</v>
      </c>
      <c r="P22" s="20" t="s">
        <v>36</v>
      </c>
      <c r="Q22" s="20" t="s">
        <v>36</v>
      </c>
      <c r="R22" s="20" t="s">
        <v>36</v>
      </c>
      <c r="S22" s="21" t="s">
        <v>4</v>
      </c>
      <c r="T22" s="21" t="s">
        <v>200</v>
      </c>
      <c r="U22" s="21" t="s">
        <v>201</v>
      </c>
      <c r="V22" s="19" t="s">
        <v>105</v>
      </c>
    </row>
    <row r="23" spans="1:22">
      <c r="A23" s="14">
        <v>19</v>
      </c>
      <c r="B23" s="15" t="s">
        <v>202</v>
      </c>
      <c r="C23" s="14" t="s">
        <v>191</v>
      </c>
      <c r="D23" s="14" t="s">
        <v>96</v>
      </c>
      <c r="E23" s="14" t="s">
        <v>203</v>
      </c>
      <c r="F23" s="14" t="s">
        <v>193</v>
      </c>
      <c r="G23" s="14" t="s">
        <v>194</v>
      </c>
      <c r="H23" s="14" t="s">
        <v>10</v>
      </c>
      <c r="I23" s="16">
        <v>100</v>
      </c>
      <c r="J23" s="14" t="s">
        <v>204</v>
      </c>
      <c r="K23" s="17" t="s">
        <v>101</v>
      </c>
      <c r="L23" s="14" t="s">
        <v>36</v>
      </c>
      <c r="M23" s="14" t="s">
        <v>36</v>
      </c>
      <c r="N23" s="18">
        <v>1</v>
      </c>
      <c r="O23" s="14" t="s">
        <v>36</v>
      </c>
      <c r="P23" s="14" t="s">
        <v>36</v>
      </c>
      <c r="Q23" s="14" t="s">
        <v>36</v>
      </c>
      <c r="R23" s="14" t="s">
        <v>36</v>
      </c>
      <c r="S23" s="15" t="s">
        <v>4</v>
      </c>
      <c r="T23" s="15" t="s">
        <v>205</v>
      </c>
      <c r="U23" s="15" t="s">
        <v>206</v>
      </c>
      <c r="V23" s="19" t="s">
        <v>105</v>
      </c>
    </row>
    <row r="24" spans="1:22">
      <c r="A24" s="20">
        <v>20</v>
      </c>
      <c r="B24" s="21" t="s">
        <v>207</v>
      </c>
      <c r="C24" s="20" t="s">
        <v>191</v>
      </c>
      <c r="D24" s="20" t="s">
        <v>96</v>
      </c>
      <c r="E24" s="20" t="s">
        <v>208</v>
      </c>
      <c r="F24" s="20" t="s">
        <v>209</v>
      </c>
      <c r="G24" s="20" t="s">
        <v>194</v>
      </c>
      <c r="H24" s="20" t="s">
        <v>10</v>
      </c>
      <c r="I24" s="20" t="s">
        <v>36</v>
      </c>
      <c r="J24" s="20" t="s">
        <v>36</v>
      </c>
      <c r="K24" s="17" t="s">
        <v>101</v>
      </c>
      <c r="L24" s="20" t="s">
        <v>36</v>
      </c>
      <c r="M24" s="20" t="s">
        <v>36</v>
      </c>
      <c r="N24" s="23">
        <v>1</v>
      </c>
      <c r="O24" s="20" t="s">
        <v>36</v>
      </c>
      <c r="P24" s="20" t="s">
        <v>36</v>
      </c>
      <c r="Q24" s="20" t="s">
        <v>36</v>
      </c>
      <c r="R24" s="20" t="s">
        <v>36</v>
      </c>
      <c r="S24" s="21" t="s">
        <v>4</v>
      </c>
      <c r="T24" s="21" t="s">
        <v>210</v>
      </c>
      <c r="U24" s="21" t="s">
        <v>211</v>
      </c>
      <c r="V24" s="24" t="s">
        <v>115</v>
      </c>
    </row>
    <row r="25" spans="1:22">
      <c r="A25" s="14">
        <v>21</v>
      </c>
      <c r="B25" s="15" t="s">
        <v>212</v>
      </c>
      <c r="C25" s="14" t="s">
        <v>213</v>
      </c>
      <c r="D25" s="14" t="s">
        <v>96</v>
      </c>
      <c r="E25" s="14" t="s">
        <v>214</v>
      </c>
      <c r="F25" s="14" t="s">
        <v>215</v>
      </c>
      <c r="G25" s="14" t="s">
        <v>216</v>
      </c>
      <c r="H25" s="14" t="s">
        <v>10</v>
      </c>
      <c r="I25" s="14" t="s">
        <v>36</v>
      </c>
      <c r="J25" s="14" t="s">
        <v>36</v>
      </c>
      <c r="K25" s="17" t="s">
        <v>101</v>
      </c>
      <c r="L25" s="14" t="s">
        <v>36</v>
      </c>
      <c r="M25" s="14" t="s">
        <v>36</v>
      </c>
      <c r="N25" s="18">
        <v>1</v>
      </c>
      <c r="O25" s="14" t="s">
        <v>36</v>
      </c>
      <c r="P25" s="14" t="s">
        <v>36</v>
      </c>
      <c r="Q25" s="14" t="s">
        <v>36</v>
      </c>
      <c r="R25" s="14" t="s">
        <v>36</v>
      </c>
      <c r="S25" s="15" t="s">
        <v>4</v>
      </c>
      <c r="T25" s="15" t="s">
        <v>217</v>
      </c>
      <c r="U25" s="15" t="s">
        <v>218</v>
      </c>
      <c r="V25" s="19" t="s">
        <v>105</v>
      </c>
    </row>
    <row r="26" spans="1:22">
      <c r="A26" s="20">
        <v>22</v>
      </c>
      <c r="B26" s="21" t="s">
        <v>219</v>
      </c>
      <c r="C26" s="20" t="s">
        <v>213</v>
      </c>
      <c r="D26" s="20" t="s">
        <v>96</v>
      </c>
      <c r="E26" s="20" t="s">
        <v>220</v>
      </c>
      <c r="F26" s="20" t="s">
        <v>215</v>
      </c>
      <c r="G26" s="20" t="s">
        <v>216</v>
      </c>
      <c r="H26" s="20" t="s">
        <v>10</v>
      </c>
      <c r="I26" s="22">
        <v>36</v>
      </c>
      <c r="J26" s="20" t="s">
        <v>108</v>
      </c>
      <c r="K26" s="17" t="s">
        <v>101</v>
      </c>
      <c r="L26" s="20" t="s">
        <v>36</v>
      </c>
      <c r="M26" s="20" t="s">
        <v>36</v>
      </c>
      <c r="N26" s="23">
        <v>1</v>
      </c>
      <c r="O26" s="20" t="s">
        <v>36</v>
      </c>
      <c r="P26" s="20" t="s">
        <v>36</v>
      </c>
      <c r="Q26" s="20" t="s">
        <v>36</v>
      </c>
      <c r="R26" s="20" t="s">
        <v>36</v>
      </c>
      <c r="S26" s="21" t="s">
        <v>4</v>
      </c>
      <c r="T26" s="21" t="s">
        <v>221</v>
      </c>
      <c r="U26" s="21" t="s">
        <v>222</v>
      </c>
      <c r="V26" s="19" t="s">
        <v>105</v>
      </c>
    </row>
    <row r="27" spans="1:22">
      <c r="A27" s="14">
        <v>23</v>
      </c>
      <c r="B27" s="15" t="s">
        <v>223</v>
      </c>
      <c r="C27" s="14" t="s">
        <v>213</v>
      </c>
      <c r="D27" s="14" t="s">
        <v>96</v>
      </c>
      <c r="E27" s="14" t="s">
        <v>224</v>
      </c>
      <c r="F27" s="14" t="s">
        <v>225</v>
      </c>
      <c r="G27" s="14" t="s">
        <v>216</v>
      </c>
      <c r="H27" s="14" t="s">
        <v>10</v>
      </c>
      <c r="I27" s="14" t="s">
        <v>36</v>
      </c>
      <c r="J27" s="14" t="s">
        <v>36</v>
      </c>
      <c r="K27" s="17" t="s">
        <v>101</v>
      </c>
      <c r="L27" s="14" t="s">
        <v>36</v>
      </c>
      <c r="M27" s="14" t="s">
        <v>36</v>
      </c>
      <c r="N27" s="18">
        <v>1</v>
      </c>
      <c r="O27" s="14" t="s">
        <v>36</v>
      </c>
      <c r="P27" s="14" t="s">
        <v>36</v>
      </c>
      <c r="Q27" s="14" t="s">
        <v>36</v>
      </c>
      <c r="R27" s="14" t="s">
        <v>36</v>
      </c>
      <c r="S27" s="15" t="s">
        <v>226</v>
      </c>
      <c r="T27" s="15" t="s">
        <v>227</v>
      </c>
      <c r="U27" s="15" t="s">
        <v>228</v>
      </c>
      <c r="V27" s="24" t="s">
        <v>115</v>
      </c>
    </row>
    <row r="28" spans="1:22">
      <c r="A28" s="20">
        <v>24</v>
      </c>
      <c r="B28" s="21" t="s">
        <v>229</v>
      </c>
      <c r="C28" s="20" t="s">
        <v>230</v>
      </c>
      <c r="D28" s="20" t="s">
        <v>96</v>
      </c>
      <c r="E28" s="20" t="s">
        <v>231</v>
      </c>
      <c r="F28" s="20" t="s">
        <v>232</v>
      </c>
      <c r="G28" s="20" t="s">
        <v>233</v>
      </c>
      <c r="H28" s="20" t="s">
        <v>10</v>
      </c>
      <c r="I28" s="20" t="s">
        <v>36</v>
      </c>
      <c r="J28" s="20" t="s">
        <v>36</v>
      </c>
      <c r="K28" s="17" t="s">
        <v>101</v>
      </c>
      <c r="L28" s="20" t="s">
        <v>36</v>
      </c>
      <c r="M28" s="20" t="s">
        <v>36</v>
      </c>
      <c r="N28" s="23">
        <v>1</v>
      </c>
      <c r="O28" s="20" t="s">
        <v>36</v>
      </c>
      <c r="P28" s="20" t="s">
        <v>36</v>
      </c>
      <c r="Q28" s="20" t="s">
        <v>36</v>
      </c>
      <c r="R28" s="20" t="s">
        <v>36</v>
      </c>
      <c r="S28" s="21" t="s">
        <v>4</v>
      </c>
      <c r="T28" s="21" t="s">
        <v>234</v>
      </c>
      <c r="U28" s="21" t="s">
        <v>235</v>
      </c>
      <c r="V28" s="24" t="s">
        <v>115</v>
      </c>
    </row>
    <row r="29" spans="1:22">
      <c r="A29" s="14">
        <v>25</v>
      </c>
      <c r="B29" s="15" t="s">
        <v>236</v>
      </c>
      <c r="C29" s="14" t="s">
        <v>230</v>
      </c>
      <c r="D29" s="14" t="s">
        <v>96</v>
      </c>
      <c r="E29" s="14" t="s">
        <v>237</v>
      </c>
      <c r="F29" s="14" t="s">
        <v>238</v>
      </c>
      <c r="G29" s="14" t="s">
        <v>233</v>
      </c>
      <c r="H29" s="14" t="s">
        <v>10</v>
      </c>
      <c r="I29" s="14" t="s">
        <v>36</v>
      </c>
      <c r="J29" s="14" t="s">
        <v>36</v>
      </c>
      <c r="K29" s="26" t="s">
        <v>132</v>
      </c>
      <c r="L29" s="14" t="s">
        <v>36</v>
      </c>
      <c r="M29" s="14" t="s">
        <v>239</v>
      </c>
      <c r="N29" s="18">
        <v>1</v>
      </c>
      <c r="O29" s="14" t="s">
        <v>36</v>
      </c>
      <c r="P29" s="14" t="s">
        <v>36</v>
      </c>
      <c r="Q29" s="14" t="s">
        <v>36</v>
      </c>
      <c r="R29" s="17" t="s">
        <v>134</v>
      </c>
      <c r="S29" s="15" t="s">
        <v>4</v>
      </c>
      <c r="T29" s="15" t="s">
        <v>240</v>
      </c>
      <c r="U29" s="15" t="s">
        <v>235</v>
      </c>
      <c r="V29" s="19" t="s">
        <v>105</v>
      </c>
    </row>
    <row r="30" spans="1:22">
      <c r="A30" s="20">
        <v>26</v>
      </c>
      <c r="B30" s="21" t="s">
        <v>241</v>
      </c>
      <c r="C30" s="20" t="s">
        <v>242</v>
      </c>
      <c r="D30" s="20" t="s">
        <v>96</v>
      </c>
      <c r="E30" s="20" t="s">
        <v>243</v>
      </c>
      <c r="F30" s="20" t="s">
        <v>244</v>
      </c>
      <c r="G30" s="20" t="s">
        <v>245</v>
      </c>
      <c r="H30" s="20" t="s">
        <v>10</v>
      </c>
      <c r="I30" s="20" t="s">
        <v>36</v>
      </c>
      <c r="J30" s="20" t="s">
        <v>36</v>
      </c>
      <c r="K30" s="17" t="s">
        <v>101</v>
      </c>
      <c r="L30" s="20" t="s">
        <v>36</v>
      </c>
      <c r="M30" s="20" t="s">
        <v>36</v>
      </c>
      <c r="N30" s="23">
        <v>1</v>
      </c>
      <c r="O30" s="20" t="s">
        <v>36</v>
      </c>
      <c r="P30" s="20" t="s">
        <v>36</v>
      </c>
      <c r="Q30" s="20" t="s">
        <v>36</v>
      </c>
      <c r="R30" s="20" t="s">
        <v>36</v>
      </c>
      <c r="S30" s="21" t="s">
        <v>4</v>
      </c>
      <c r="T30" s="21" t="s">
        <v>246</v>
      </c>
      <c r="U30" s="21" t="s">
        <v>247</v>
      </c>
      <c r="V30" s="24" t="s">
        <v>115</v>
      </c>
    </row>
    <row r="31" spans="1:22">
      <c r="A31" s="14">
        <v>27</v>
      </c>
      <c r="B31" s="15" t="s">
        <v>248</v>
      </c>
      <c r="C31" s="14" t="s">
        <v>249</v>
      </c>
      <c r="D31" s="14" t="s">
        <v>96</v>
      </c>
      <c r="E31" s="14" t="s">
        <v>250</v>
      </c>
      <c r="F31" s="14" t="s">
        <v>251</v>
      </c>
      <c r="G31" s="14" t="s">
        <v>252</v>
      </c>
      <c r="H31" s="14" t="s">
        <v>10</v>
      </c>
      <c r="I31" s="16">
        <v>72</v>
      </c>
      <c r="J31" s="14" t="s">
        <v>253</v>
      </c>
      <c r="K31" s="17" t="s">
        <v>101</v>
      </c>
      <c r="L31" s="14" t="s">
        <v>36</v>
      </c>
      <c r="M31" s="14" t="s">
        <v>36</v>
      </c>
      <c r="N31" s="18">
        <v>1</v>
      </c>
      <c r="O31" s="14" t="s">
        <v>36</v>
      </c>
      <c r="P31" s="14" t="s">
        <v>36</v>
      </c>
      <c r="Q31" s="14" t="s">
        <v>36</v>
      </c>
      <c r="R31" s="14" t="s">
        <v>36</v>
      </c>
      <c r="S31" s="15" t="s">
        <v>254</v>
      </c>
      <c r="T31" s="15" t="s">
        <v>255</v>
      </c>
      <c r="U31" s="15" t="s">
        <v>256</v>
      </c>
      <c r="V31" s="24" t="s">
        <v>115</v>
      </c>
    </row>
    <row r="32" spans="1:22">
      <c r="A32" s="20">
        <v>28</v>
      </c>
      <c r="B32" s="21" t="s">
        <v>257</v>
      </c>
      <c r="C32" s="20" t="s">
        <v>258</v>
      </c>
      <c r="D32" s="20" t="s">
        <v>96</v>
      </c>
      <c r="E32" s="20" t="s">
        <v>259</v>
      </c>
      <c r="F32" s="20" t="s">
        <v>260</v>
      </c>
      <c r="G32" s="20" t="s">
        <v>261</v>
      </c>
      <c r="H32" s="20" t="s">
        <v>262</v>
      </c>
      <c r="I32" s="20" t="s">
        <v>36</v>
      </c>
      <c r="J32" s="20" t="s">
        <v>36</v>
      </c>
      <c r="K32" s="17" t="s">
        <v>101</v>
      </c>
      <c r="L32" s="20" t="s">
        <v>36</v>
      </c>
      <c r="M32" s="20" t="s">
        <v>36</v>
      </c>
      <c r="N32" s="23">
        <v>1</v>
      </c>
      <c r="O32" s="20" t="s">
        <v>36</v>
      </c>
      <c r="P32" s="20" t="s">
        <v>36</v>
      </c>
      <c r="Q32" s="20" t="s">
        <v>36</v>
      </c>
      <c r="R32" s="20" t="s">
        <v>36</v>
      </c>
      <c r="S32" s="21" t="s">
        <v>263</v>
      </c>
      <c r="T32" s="21" t="s">
        <v>264</v>
      </c>
      <c r="U32" s="21" t="s">
        <v>265</v>
      </c>
      <c r="V32" s="24" t="s">
        <v>115</v>
      </c>
    </row>
    <row r="33" spans="1:22">
      <c r="A33" s="14">
        <v>29</v>
      </c>
      <c r="B33" s="15" t="s">
        <v>266</v>
      </c>
      <c r="C33" s="14" t="s">
        <v>258</v>
      </c>
      <c r="D33" s="14" t="s">
        <v>96</v>
      </c>
      <c r="E33" s="14" t="s">
        <v>267</v>
      </c>
      <c r="F33" s="14" t="s">
        <v>268</v>
      </c>
      <c r="G33" s="14" t="s">
        <v>261</v>
      </c>
      <c r="H33" s="14" t="s">
        <v>262</v>
      </c>
      <c r="I33" s="14" t="s">
        <v>36</v>
      </c>
      <c r="J33" s="14" t="s">
        <v>36</v>
      </c>
      <c r="K33" s="17" t="s">
        <v>101</v>
      </c>
      <c r="L33" s="14" t="s">
        <v>36</v>
      </c>
      <c r="M33" s="14" t="s">
        <v>36</v>
      </c>
      <c r="N33" s="18">
        <v>1</v>
      </c>
      <c r="O33" s="14" t="s">
        <v>36</v>
      </c>
      <c r="P33" s="14" t="s">
        <v>36</v>
      </c>
      <c r="Q33" s="14" t="s">
        <v>36</v>
      </c>
      <c r="R33" s="14" t="s">
        <v>36</v>
      </c>
      <c r="S33" s="15" t="s">
        <v>263</v>
      </c>
      <c r="T33" s="15" t="s">
        <v>269</v>
      </c>
      <c r="U33" s="15" t="s">
        <v>270</v>
      </c>
      <c r="V33" s="24" t="s">
        <v>115</v>
      </c>
    </row>
    <row r="34" spans="1:22">
      <c r="A34" s="20">
        <v>30</v>
      </c>
      <c r="B34" s="21" t="s">
        <v>271</v>
      </c>
      <c r="C34" s="20" t="s">
        <v>258</v>
      </c>
      <c r="D34" s="20" t="s">
        <v>96</v>
      </c>
      <c r="E34" s="20" t="s">
        <v>267</v>
      </c>
      <c r="F34" s="20" t="s">
        <v>272</v>
      </c>
      <c r="G34" s="20" t="s">
        <v>261</v>
      </c>
      <c r="H34" s="20" t="s">
        <v>262</v>
      </c>
      <c r="I34" s="20" t="s">
        <v>36</v>
      </c>
      <c r="J34" s="20" t="s">
        <v>36</v>
      </c>
      <c r="K34" s="17" t="s">
        <v>101</v>
      </c>
      <c r="L34" s="20" t="s">
        <v>36</v>
      </c>
      <c r="M34" s="20" t="s">
        <v>36</v>
      </c>
      <c r="N34" s="23">
        <v>1</v>
      </c>
      <c r="O34" s="20" t="s">
        <v>36</v>
      </c>
      <c r="P34" s="20" t="s">
        <v>36</v>
      </c>
      <c r="Q34" s="20" t="s">
        <v>36</v>
      </c>
      <c r="R34" s="20" t="s">
        <v>36</v>
      </c>
      <c r="S34" s="21" t="s">
        <v>263</v>
      </c>
      <c r="T34" s="21" t="s">
        <v>273</v>
      </c>
      <c r="U34" s="21" t="s">
        <v>270</v>
      </c>
      <c r="V34" s="24" t="s">
        <v>115</v>
      </c>
    </row>
    <row r="35" spans="1:22">
      <c r="A35" s="14">
        <v>31</v>
      </c>
      <c r="B35" s="15" t="s">
        <v>274</v>
      </c>
      <c r="C35" s="14" t="s">
        <v>258</v>
      </c>
      <c r="D35" s="14" t="s">
        <v>96</v>
      </c>
      <c r="E35" s="14" t="s">
        <v>275</v>
      </c>
      <c r="F35" s="14" t="s">
        <v>276</v>
      </c>
      <c r="G35" s="14" t="s">
        <v>261</v>
      </c>
      <c r="H35" s="14" t="s">
        <v>262</v>
      </c>
      <c r="I35" s="14" t="s">
        <v>36</v>
      </c>
      <c r="J35" s="14" t="s">
        <v>36</v>
      </c>
      <c r="K35" s="17" t="s">
        <v>101</v>
      </c>
      <c r="L35" s="14" t="s">
        <v>36</v>
      </c>
      <c r="M35" s="14" t="s">
        <v>36</v>
      </c>
      <c r="N35" s="18">
        <v>1</v>
      </c>
      <c r="O35" s="14" t="s">
        <v>36</v>
      </c>
      <c r="P35" s="14" t="s">
        <v>36</v>
      </c>
      <c r="Q35" s="14" t="s">
        <v>36</v>
      </c>
      <c r="R35" s="14" t="s">
        <v>36</v>
      </c>
      <c r="S35" s="15" t="s">
        <v>263</v>
      </c>
      <c r="T35" s="15" t="s">
        <v>277</v>
      </c>
      <c r="U35" s="15" t="s">
        <v>270</v>
      </c>
      <c r="V35" s="24" t="s">
        <v>115</v>
      </c>
    </row>
    <row r="36" spans="1:22">
      <c r="A36" s="20">
        <v>32</v>
      </c>
      <c r="B36" s="21" t="s">
        <v>278</v>
      </c>
      <c r="C36" s="20" t="s">
        <v>258</v>
      </c>
      <c r="D36" s="20" t="s">
        <v>96</v>
      </c>
      <c r="E36" s="20" t="s">
        <v>267</v>
      </c>
      <c r="F36" s="20" t="s">
        <v>279</v>
      </c>
      <c r="G36" s="20" t="s">
        <v>280</v>
      </c>
      <c r="H36" s="20" t="s">
        <v>262</v>
      </c>
      <c r="I36" s="20" t="s">
        <v>36</v>
      </c>
      <c r="J36" s="20" t="s">
        <v>36</v>
      </c>
      <c r="K36" s="17" t="s">
        <v>101</v>
      </c>
      <c r="L36" s="20" t="s">
        <v>36</v>
      </c>
      <c r="M36" s="20" t="s">
        <v>36</v>
      </c>
      <c r="N36" s="23">
        <v>1</v>
      </c>
      <c r="O36" s="20" t="s">
        <v>36</v>
      </c>
      <c r="P36" s="20" t="s">
        <v>36</v>
      </c>
      <c r="Q36" s="20" t="s">
        <v>36</v>
      </c>
      <c r="R36" s="20" t="s">
        <v>36</v>
      </c>
      <c r="S36" s="21" t="s">
        <v>263</v>
      </c>
      <c r="T36" s="21" t="s">
        <v>281</v>
      </c>
      <c r="U36" s="21" t="s">
        <v>270</v>
      </c>
      <c r="V36" s="24" t="s">
        <v>115</v>
      </c>
    </row>
    <row r="37" spans="1:22">
      <c r="A37" s="14">
        <v>33</v>
      </c>
      <c r="B37" s="15" t="s">
        <v>282</v>
      </c>
      <c r="C37" s="14" t="s">
        <v>283</v>
      </c>
      <c r="D37" s="14" t="s">
        <v>96</v>
      </c>
      <c r="E37" s="14" t="s">
        <v>284</v>
      </c>
      <c r="F37" s="14" t="s">
        <v>285</v>
      </c>
      <c r="G37" s="14" t="s">
        <v>285</v>
      </c>
      <c r="H37" s="14" t="s">
        <v>286</v>
      </c>
      <c r="I37" s="14" t="s">
        <v>36</v>
      </c>
      <c r="J37" s="14" t="s">
        <v>36</v>
      </c>
      <c r="K37" s="17" t="s">
        <v>101</v>
      </c>
      <c r="L37" s="14">
        <v>2022</v>
      </c>
      <c r="M37" s="14" t="s">
        <v>36</v>
      </c>
      <c r="N37" s="18">
        <v>1</v>
      </c>
      <c r="O37" s="14" t="s">
        <v>36</v>
      </c>
      <c r="P37" s="14" t="s">
        <v>36</v>
      </c>
      <c r="Q37" s="14" t="s">
        <v>36</v>
      </c>
      <c r="R37" s="14" t="s">
        <v>36</v>
      </c>
      <c r="S37" s="15" t="s">
        <v>263</v>
      </c>
      <c r="T37" s="15" t="s">
        <v>287</v>
      </c>
      <c r="U37" s="15" t="s">
        <v>288</v>
      </c>
      <c r="V37" s="19" t="s">
        <v>105</v>
      </c>
    </row>
    <row r="38" spans="1:22">
      <c r="A38" s="20">
        <v>34</v>
      </c>
      <c r="B38" s="21" t="s">
        <v>289</v>
      </c>
      <c r="C38" s="20" t="s">
        <v>283</v>
      </c>
      <c r="D38" s="20" t="s">
        <v>96</v>
      </c>
      <c r="E38" s="20" t="s">
        <v>290</v>
      </c>
      <c r="F38" s="20" t="s">
        <v>285</v>
      </c>
      <c r="G38" s="20" t="s">
        <v>285</v>
      </c>
      <c r="H38" s="20" t="s">
        <v>286</v>
      </c>
      <c r="I38" s="20" t="s">
        <v>36</v>
      </c>
      <c r="J38" s="20" t="s">
        <v>36</v>
      </c>
      <c r="K38" s="17" t="s">
        <v>101</v>
      </c>
      <c r="L38" s="20" t="s">
        <v>36</v>
      </c>
      <c r="M38" s="20" t="s">
        <v>36</v>
      </c>
      <c r="N38" s="23">
        <v>1</v>
      </c>
      <c r="O38" s="20" t="s">
        <v>36</v>
      </c>
      <c r="P38" s="20" t="s">
        <v>36</v>
      </c>
      <c r="Q38" s="20" t="s">
        <v>36</v>
      </c>
      <c r="R38" s="20" t="s">
        <v>36</v>
      </c>
      <c r="S38" s="21" t="s">
        <v>263</v>
      </c>
      <c r="T38" s="21" t="s">
        <v>291</v>
      </c>
      <c r="U38" s="21" t="s">
        <v>288</v>
      </c>
      <c r="V38" s="24" t="s">
        <v>115</v>
      </c>
    </row>
    <row r="39" spans="1:22">
      <c r="A39" s="14">
        <v>35</v>
      </c>
      <c r="B39" s="15" t="s">
        <v>292</v>
      </c>
      <c r="C39" s="14" t="s">
        <v>283</v>
      </c>
      <c r="D39" s="14" t="s">
        <v>96</v>
      </c>
      <c r="E39" s="14" t="s">
        <v>293</v>
      </c>
      <c r="F39" s="14" t="s">
        <v>294</v>
      </c>
      <c r="G39" s="14" t="s">
        <v>285</v>
      </c>
      <c r="H39" s="14" t="s">
        <v>286</v>
      </c>
      <c r="I39" s="14" t="s">
        <v>36</v>
      </c>
      <c r="J39" s="14" t="s">
        <v>36</v>
      </c>
      <c r="K39" s="17" t="s">
        <v>101</v>
      </c>
      <c r="L39" s="14" t="s">
        <v>36</v>
      </c>
      <c r="M39" s="14" t="s">
        <v>36</v>
      </c>
      <c r="N39" s="18">
        <v>1</v>
      </c>
      <c r="O39" s="14" t="s">
        <v>36</v>
      </c>
      <c r="P39" s="14" t="s">
        <v>36</v>
      </c>
      <c r="Q39" s="14" t="s">
        <v>36</v>
      </c>
      <c r="R39" s="14" t="s">
        <v>36</v>
      </c>
      <c r="S39" s="15" t="s">
        <v>263</v>
      </c>
      <c r="T39" s="15" t="s">
        <v>295</v>
      </c>
      <c r="U39" s="15" t="s">
        <v>288</v>
      </c>
      <c r="V39" s="24" t="s">
        <v>115</v>
      </c>
    </row>
    <row r="40" spans="1:22">
      <c r="A40" s="20">
        <v>36</v>
      </c>
      <c r="B40" s="21" t="s">
        <v>296</v>
      </c>
      <c r="C40" s="20" t="s">
        <v>283</v>
      </c>
      <c r="D40" s="20" t="s">
        <v>96</v>
      </c>
      <c r="E40" s="20" t="s">
        <v>297</v>
      </c>
      <c r="F40" s="20" t="s">
        <v>298</v>
      </c>
      <c r="G40" s="20" t="s">
        <v>299</v>
      </c>
      <c r="H40" s="20" t="s">
        <v>286</v>
      </c>
      <c r="I40" s="20" t="s">
        <v>36</v>
      </c>
      <c r="J40" s="20" t="s">
        <v>36</v>
      </c>
      <c r="K40" s="17" t="s">
        <v>101</v>
      </c>
      <c r="L40" s="20" t="s">
        <v>36</v>
      </c>
      <c r="M40" s="20" t="s">
        <v>36</v>
      </c>
      <c r="N40" s="23">
        <v>1</v>
      </c>
      <c r="O40" s="20" t="s">
        <v>36</v>
      </c>
      <c r="P40" s="20" t="s">
        <v>36</v>
      </c>
      <c r="Q40" s="20" t="s">
        <v>36</v>
      </c>
      <c r="R40" s="20" t="s">
        <v>36</v>
      </c>
      <c r="S40" s="21" t="s">
        <v>263</v>
      </c>
      <c r="T40" s="21" t="s">
        <v>300</v>
      </c>
      <c r="U40" s="21" t="s">
        <v>288</v>
      </c>
      <c r="V40" s="24" t="s">
        <v>115</v>
      </c>
    </row>
    <row r="41" spans="1:22">
      <c r="A41" s="14">
        <v>37</v>
      </c>
      <c r="B41" s="15" t="s">
        <v>301</v>
      </c>
      <c r="C41" s="14" t="s">
        <v>302</v>
      </c>
      <c r="D41" s="14" t="s">
        <v>96</v>
      </c>
      <c r="E41" s="14" t="s">
        <v>303</v>
      </c>
      <c r="F41" s="14" t="s">
        <v>304</v>
      </c>
      <c r="G41" s="14" t="s">
        <v>305</v>
      </c>
      <c r="H41" s="14" t="s">
        <v>306</v>
      </c>
      <c r="I41" s="14" t="s">
        <v>36</v>
      </c>
      <c r="J41" s="14" t="s">
        <v>36</v>
      </c>
      <c r="K41" s="17" t="s">
        <v>101</v>
      </c>
      <c r="L41" s="14" t="s">
        <v>36</v>
      </c>
      <c r="M41" s="14" t="s">
        <v>36</v>
      </c>
      <c r="N41" s="18">
        <v>1</v>
      </c>
      <c r="O41" s="14" t="s">
        <v>36</v>
      </c>
      <c r="P41" s="14" t="s">
        <v>36</v>
      </c>
      <c r="Q41" s="14" t="s">
        <v>36</v>
      </c>
      <c r="R41" s="14" t="s">
        <v>36</v>
      </c>
      <c r="S41" s="15" t="s">
        <v>263</v>
      </c>
      <c r="T41" s="15" t="s">
        <v>307</v>
      </c>
      <c r="U41" s="15" t="s">
        <v>308</v>
      </c>
      <c r="V41" s="24" t="s">
        <v>115</v>
      </c>
    </row>
    <row r="42" spans="1:22">
      <c r="A42" s="20">
        <v>38</v>
      </c>
      <c r="B42" s="21" t="s">
        <v>309</v>
      </c>
      <c r="C42" s="20" t="s">
        <v>302</v>
      </c>
      <c r="D42" s="20" t="s">
        <v>96</v>
      </c>
      <c r="E42" s="20" t="s">
        <v>267</v>
      </c>
      <c r="F42" s="20" t="s">
        <v>310</v>
      </c>
      <c r="G42" s="20" t="s">
        <v>305</v>
      </c>
      <c r="H42" s="20" t="s">
        <v>306</v>
      </c>
      <c r="I42" s="20" t="s">
        <v>36</v>
      </c>
      <c r="J42" s="20" t="s">
        <v>36</v>
      </c>
      <c r="K42" s="17" t="s">
        <v>101</v>
      </c>
      <c r="L42" s="20" t="s">
        <v>36</v>
      </c>
      <c r="M42" s="20" t="s">
        <v>36</v>
      </c>
      <c r="N42" s="23">
        <v>1</v>
      </c>
      <c r="O42" s="20" t="s">
        <v>36</v>
      </c>
      <c r="P42" s="20" t="s">
        <v>36</v>
      </c>
      <c r="Q42" s="20" t="s">
        <v>36</v>
      </c>
      <c r="R42" s="20" t="s">
        <v>36</v>
      </c>
      <c r="S42" s="21" t="s">
        <v>263</v>
      </c>
      <c r="T42" s="21" t="s">
        <v>311</v>
      </c>
      <c r="U42" s="21" t="s">
        <v>308</v>
      </c>
      <c r="V42" s="24" t="s">
        <v>115</v>
      </c>
    </row>
    <row r="43" spans="1:22">
      <c r="A43" s="14">
        <v>39</v>
      </c>
      <c r="B43" s="15" t="s">
        <v>312</v>
      </c>
      <c r="C43" s="14" t="s">
        <v>313</v>
      </c>
      <c r="D43" s="14" t="s">
        <v>96</v>
      </c>
      <c r="E43" s="14" t="s">
        <v>314</v>
      </c>
      <c r="F43" s="14" t="s">
        <v>315</v>
      </c>
      <c r="G43" s="14" t="s">
        <v>316</v>
      </c>
      <c r="H43" s="14" t="s">
        <v>317</v>
      </c>
      <c r="I43" s="14" t="s">
        <v>36</v>
      </c>
      <c r="J43" s="14" t="s">
        <v>36</v>
      </c>
      <c r="K43" s="17" t="s">
        <v>101</v>
      </c>
      <c r="L43" s="14" t="s">
        <v>36</v>
      </c>
      <c r="M43" s="14" t="s">
        <v>36</v>
      </c>
      <c r="N43" s="18">
        <v>1</v>
      </c>
      <c r="O43" s="14" t="s">
        <v>36</v>
      </c>
      <c r="P43" s="14" t="s">
        <v>36</v>
      </c>
      <c r="Q43" s="14" t="s">
        <v>36</v>
      </c>
      <c r="R43" s="14" t="s">
        <v>36</v>
      </c>
      <c r="S43" s="15" t="s">
        <v>263</v>
      </c>
      <c r="T43" s="15" t="s">
        <v>318</v>
      </c>
      <c r="U43" s="15" t="s">
        <v>319</v>
      </c>
      <c r="V43" s="24" t="s">
        <v>115</v>
      </c>
    </row>
    <row r="44" spans="1:22">
      <c r="A44" s="20">
        <v>40</v>
      </c>
      <c r="B44" s="21" t="s">
        <v>320</v>
      </c>
      <c r="C44" s="20" t="s">
        <v>313</v>
      </c>
      <c r="D44" s="20" t="s">
        <v>96</v>
      </c>
      <c r="E44" s="20" t="s">
        <v>321</v>
      </c>
      <c r="F44" s="20" t="s">
        <v>322</v>
      </c>
      <c r="G44" s="20" t="s">
        <v>316</v>
      </c>
      <c r="H44" s="20" t="s">
        <v>317</v>
      </c>
      <c r="I44" s="22">
        <v>144</v>
      </c>
      <c r="J44" s="20" t="s">
        <v>323</v>
      </c>
      <c r="K44" s="27" t="s">
        <v>324</v>
      </c>
      <c r="L44" s="20" t="s">
        <v>36</v>
      </c>
      <c r="M44" s="20" t="s">
        <v>325</v>
      </c>
      <c r="N44" s="23">
        <v>1</v>
      </c>
      <c r="O44" s="20" t="s">
        <v>36</v>
      </c>
      <c r="P44" s="20" t="s">
        <v>36</v>
      </c>
      <c r="Q44" s="20" t="s">
        <v>36</v>
      </c>
      <c r="R44" s="27" t="s">
        <v>326</v>
      </c>
      <c r="S44" s="21" t="s">
        <v>263</v>
      </c>
      <c r="T44" s="21" t="s">
        <v>327</v>
      </c>
      <c r="U44" s="21" t="s">
        <v>319</v>
      </c>
      <c r="V44" s="24" t="s">
        <v>115</v>
      </c>
    </row>
    <row r="45" spans="1:22">
      <c r="A45" s="14">
        <v>41</v>
      </c>
      <c r="B45" s="15" t="s">
        <v>328</v>
      </c>
      <c r="C45" s="14" t="s">
        <v>313</v>
      </c>
      <c r="D45" s="14" t="s">
        <v>96</v>
      </c>
      <c r="E45" s="14" t="s">
        <v>321</v>
      </c>
      <c r="F45" s="14" t="s">
        <v>329</v>
      </c>
      <c r="G45" s="14" t="s">
        <v>316</v>
      </c>
      <c r="H45" s="14" t="s">
        <v>317</v>
      </c>
      <c r="I45" s="14" t="s">
        <v>36</v>
      </c>
      <c r="J45" s="14" t="s">
        <v>330</v>
      </c>
      <c r="K45" s="27" t="s">
        <v>324</v>
      </c>
      <c r="L45" s="14" t="s">
        <v>36</v>
      </c>
      <c r="M45" s="14" t="s">
        <v>331</v>
      </c>
      <c r="N45" s="18">
        <v>1</v>
      </c>
      <c r="O45" s="14" t="s">
        <v>36</v>
      </c>
      <c r="P45" s="14" t="s">
        <v>36</v>
      </c>
      <c r="Q45" s="14" t="s">
        <v>36</v>
      </c>
      <c r="R45" s="27" t="s">
        <v>326</v>
      </c>
      <c r="S45" s="15" t="s">
        <v>263</v>
      </c>
      <c r="T45" s="15" t="s">
        <v>332</v>
      </c>
      <c r="U45" s="15" t="s">
        <v>319</v>
      </c>
      <c r="V45" s="24" t="s">
        <v>115</v>
      </c>
    </row>
    <row r="46" spans="1:22">
      <c r="A46" s="20">
        <v>42</v>
      </c>
      <c r="B46" s="21" t="s">
        <v>333</v>
      </c>
      <c r="C46" s="20" t="s">
        <v>334</v>
      </c>
      <c r="D46" s="20" t="s">
        <v>335</v>
      </c>
      <c r="E46" s="20" t="s">
        <v>336</v>
      </c>
      <c r="F46" s="20" t="s">
        <v>172</v>
      </c>
      <c r="G46" s="20" t="s">
        <v>173</v>
      </c>
      <c r="H46" s="20" t="s">
        <v>10</v>
      </c>
      <c r="I46" s="20" t="s">
        <v>36</v>
      </c>
      <c r="J46" s="20" t="s">
        <v>36</v>
      </c>
      <c r="K46" s="17" t="s">
        <v>101</v>
      </c>
      <c r="L46" s="20" t="s">
        <v>36</v>
      </c>
      <c r="M46" s="20" t="s">
        <v>36</v>
      </c>
      <c r="N46" s="23">
        <v>1</v>
      </c>
      <c r="O46" s="20" t="s">
        <v>36</v>
      </c>
      <c r="P46" s="20" t="s">
        <v>36</v>
      </c>
      <c r="Q46" s="20" t="s">
        <v>36</v>
      </c>
      <c r="R46" s="20" t="s">
        <v>36</v>
      </c>
      <c r="S46" s="21" t="s">
        <v>4</v>
      </c>
      <c r="T46" s="21" t="s">
        <v>337</v>
      </c>
      <c r="U46" s="21" t="s">
        <v>181</v>
      </c>
      <c r="V46" s="24" t="s">
        <v>115</v>
      </c>
    </row>
    <row r="48" spans="1:22">
      <c r="A48" s="35" t="s">
        <v>70</v>
      </c>
      <c r="B48" s="32"/>
      <c r="C48" s="32"/>
      <c r="D48" s="32"/>
      <c r="E48" s="32"/>
      <c r="F48" s="32"/>
      <c r="G48" s="32"/>
      <c r="H48" s="32"/>
      <c r="I48" s="32"/>
      <c r="J48" s="32"/>
      <c r="K48" s="32"/>
      <c r="L48" s="32"/>
      <c r="M48" s="32"/>
      <c r="N48" s="32"/>
      <c r="O48" s="32"/>
      <c r="P48" s="32"/>
      <c r="Q48" s="32"/>
      <c r="R48" s="32"/>
      <c r="S48" s="32"/>
      <c r="T48" s="32"/>
      <c r="U48" s="32"/>
      <c r="V48" s="32"/>
    </row>
  </sheetData>
  <autoFilter ref="A4:V46" xr:uid="{00000000-0009-0000-0000-000001000000}"/>
  <mergeCells count="3">
    <mergeCell ref="A2:V2"/>
    <mergeCell ref="A1:V1"/>
    <mergeCell ref="A48:V48"/>
  </mergeCells>
  <pageMargins left="0.75" right="0.75" top="1" bottom="1" header="0.5" footer="0.5"/>
  <headerFooter>
    <oddFooter>&amp;C_x000D_&amp;1#&amp;"Aptos"&amp;9&amp;K000000 Information Classification: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2"/>
  <sheetViews>
    <sheetView workbookViewId="0">
      <pane ySplit="4" topLeftCell="A5" activePane="bottomLeft" state="frozen"/>
      <selection pane="bottomLeft"/>
    </sheetView>
  </sheetViews>
  <sheetFormatPr defaultRowHeight="15"/>
  <cols>
    <col min="1" max="1" width="5" customWidth="1"/>
    <col min="2" max="2" width="40" customWidth="1"/>
    <col min="3" max="3" width="25" customWidth="1"/>
    <col min="4" max="4" width="20" customWidth="1"/>
    <col min="5" max="6" width="16" customWidth="1"/>
    <col min="7" max="7" width="35" customWidth="1"/>
    <col min="8" max="8" width="50" customWidth="1"/>
    <col min="9" max="9" width="22" customWidth="1"/>
    <col min="10" max="10" width="35" customWidth="1"/>
  </cols>
  <sheetData>
    <row r="1" spans="1:10">
      <c r="A1" s="36" t="s">
        <v>338</v>
      </c>
      <c r="B1" s="32"/>
      <c r="C1" s="32"/>
      <c r="D1" s="32"/>
      <c r="E1" s="32"/>
      <c r="F1" s="32"/>
      <c r="G1" s="32"/>
      <c r="H1" s="32"/>
      <c r="I1" s="32"/>
      <c r="J1" s="32"/>
    </row>
    <row r="2" spans="1:10">
      <c r="A2" s="33" t="s">
        <v>339</v>
      </c>
      <c r="B2" s="32"/>
      <c r="C2" s="32"/>
      <c r="D2" s="32"/>
      <c r="E2" s="32"/>
      <c r="F2" s="32"/>
      <c r="G2" s="32"/>
      <c r="H2" s="32"/>
      <c r="I2" s="32"/>
      <c r="J2" s="32"/>
    </row>
    <row r="4" spans="1:10">
      <c r="A4" s="3" t="s">
        <v>73</v>
      </c>
      <c r="B4" s="3" t="s">
        <v>340</v>
      </c>
      <c r="C4" s="3" t="s">
        <v>341</v>
      </c>
      <c r="D4" s="3" t="s">
        <v>342</v>
      </c>
      <c r="E4" s="3" t="s">
        <v>343</v>
      </c>
      <c r="F4" s="3" t="s">
        <v>344</v>
      </c>
      <c r="G4" s="3" t="s">
        <v>345</v>
      </c>
      <c r="H4" s="3" t="s">
        <v>346</v>
      </c>
      <c r="I4" s="3" t="s">
        <v>347</v>
      </c>
      <c r="J4" s="3" t="s">
        <v>92</v>
      </c>
    </row>
    <row r="5" spans="1:10">
      <c r="A5" s="14">
        <v>1</v>
      </c>
      <c r="B5" s="15" t="s">
        <v>348</v>
      </c>
      <c r="C5" s="14" t="s">
        <v>349</v>
      </c>
      <c r="D5" s="14" t="s">
        <v>350</v>
      </c>
      <c r="E5" s="14" t="s">
        <v>30</v>
      </c>
      <c r="F5" s="14" t="s">
        <v>351</v>
      </c>
      <c r="G5" s="15" t="s">
        <v>352</v>
      </c>
      <c r="H5" s="28" t="s">
        <v>353</v>
      </c>
      <c r="I5" s="14" t="s">
        <v>354</v>
      </c>
      <c r="J5" s="15" t="s">
        <v>355</v>
      </c>
    </row>
    <row r="6" spans="1:10">
      <c r="A6" s="20">
        <v>2</v>
      </c>
      <c r="B6" s="21" t="s">
        <v>356</v>
      </c>
      <c r="C6" s="20" t="s">
        <v>357</v>
      </c>
      <c r="D6" s="20" t="s">
        <v>350</v>
      </c>
      <c r="E6" s="20" t="s">
        <v>30</v>
      </c>
      <c r="F6" s="20" t="s">
        <v>351</v>
      </c>
      <c r="G6" s="21" t="s">
        <v>358</v>
      </c>
      <c r="H6" s="29" t="s">
        <v>359</v>
      </c>
      <c r="I6" s="20" t="s">
        <v>354</v>
      </c>
      <c r="J6" s="21" t="s">
        <v>36</v>
      </c>
    </row>
    <row r="7" spans="1:10">
      <c r="A7" s="14">
        <v>3</v>
      </c>
      <c r="B7" s="15" t="s">
        <v>360</v>
      </c>
      <c r="C7" s="14" t="s">
        <v>361</v>
      </c>
      <c r="D7" s="14" t="s">
        <v>350</v>
      </c>
      <c r="E7" s="14" t="s">
        <v>30</v>
      </c>
      <c r="F7" s="14" t="s">
        <v>351</v>
      </c>
      <c r="G7" s="15" t="s">
        <v>362</v>
      </c>
      <c r="H7" s="28" t="s">
        <v>363</v>
      </c>
      <c r="I7" s="14" t="s">
        <v>364</v>
      </c>
      <c r="J7" s="15" t="s">
        <v>365</v>
      </c>
    </row>
    <row r="8" spans="1:10">
      <c r="A8" s="20">
        <v>4</v>
      </c>
      <c r="B8" s="21" t="s">
        <v>366</v>
      </c>
      <c r="C8" s="20" t="s">
        <v>357</v>
      </c>
      <c r="D8" s="20" t="s">
        <v>350</v>
      </c>
      <c r="E8" s="20" t="s">
        <v>30</v>
      </c>
      <c r="F8" s="20" t="s">
        <v>351</v>
      </c>
      <c r="G8" s="21" t="s">
        <v>367</v>
      </c>
      <c r="H8" s="29" t="s">
        <v>114</v>
      </c>
      <c r="I8" s="20" t="s">
        <v>354</v>
      </c>
      <c r="J8" s="21" t="s">
        <v>368</v>
      </c>
    </row>
    <row r="9" spans="1:10">
      <c r="A9" s="14">
        <v>5</v>
      </c>
      <c r="B9" s="15" t="s">
        <v>369</v>
      </c>
      <c r="C9" s="14" t="s">
        <v>357</v>
      </c>
      <c r="D9" s="14" t="s">
        <v>350</v>
      </c>
      <c r="E9" s="14" t="s">
        <v>30</v>
      </c>
      <c r="F9" s="14" t="s">
        <v>351</v>
      </c>
      <c r="G9" s="15" t="s">
        <v>370</v>
      </c>
      <c r="H9" s="28" t="s">
        <v>181</v>
      </c>
      <c r="I9" s="14" t="s">
        <v>354</v>
      </c>
      <c r="J9" s="15" t="s">
        <v>36</v>
      </c>
    </row>
    <row r="10" spans="1:10">
      <c r="A10" s="20">
        <v>6</v>
      </c>
      <c r="B10" s="21" t="s">
        <v>371</v>
      </c>
      <c r="C10" s="20" t="s">
        <v>357</v>
      </c>
      <c r="D10" s="20" t="s">
        <v>350</v>
      </c>
      <c r="E10" s="20" t="s">
        <v>30</v>
      </c>
      <c r="F10" s="20" t="s">
        <v>351</v>
      </c>
      <c r="G10" s="21" t="s">
        <v>372</v>
      </c>
      <c r="H10" s="29" t="s">
        <v>373</v>
      </c>
      <c r="I10" s="20" t="s">
        <v>354</v>
      </c>
      <c r="J10" s="21" t="s">
        <v>374</v>
      </c>
    </row>
    <row r="11" spans="1:10">
      <c r="A11" s="14">
        <v>7</v>
      </c>
      <c r="B11" s="15" t="s">
        <v>375</v>
      </c>
      <c r="C11" s="14" t="s">
        <v>357</v>
      </c>
      <c r="D11" s="14" t="s">
        <v>350</v>
      </c>
      <c r="E11" s="14" t="s">
        <v>30</v>
      </c>
      <c r="F11" s="14" t="s">
        <v>351</v>
      </c>
      <c r="G11" s="15" t="s">
        <v>376</v>
      </c>
      <c r="H11" s="28" t="s">
        <v>168</v>
      </c>
      <c r="I11" s="14" t="s">
        <v>354</v>
      </c>
      <c r="J11" s="15" t="s">
        <v>36</v>
      </c>
    </row>
    <row r="12" spans="1:10">
      <c r="A12" s="20">
        <v>8</v>
      </c>
      <c r="B12" s="21" t="s">
        <v>377</v>
      </c>
      <c r="C12" s="20" t="s">
        <v>357</v>
      </c>
      <c r="D12" s="20" t="s">
        <v>350</v>
      </c>
      <c r="E12" s="20" t="s">
        <v>30</v>
      </c>
      <c r="F12" s="20" t="s">
        <v>351</v>
      </c>
      <c r="G12" s="21" t="s">
        <v>378</v>
      </c>
      <c r="H12" s="29" t="s">
        <v>379</v>
      </c>
      <c r="I12" s="20" t="s">
        <v>354</v>
      </c>
      <c r="J12" s="21" t="s">
        <v>36</v>
      </c>
    </row>
    <row r="13" spans="1:10">
      <c r="A13" s="14">
        <v>9</v>
      </c>
      <c r="B13" s="15" t="s">
        <v>380</v>
      </c>
      <c r="C13" s="14" t="s">
        <v>357</v>
      </c>
      <c r="D13" s="14" t="s">
        <v>350</v>
      </c>
      <c r="E13" s="14" t="s">
        <v>30</v>
      </c>
      <c r="F13" s="14" t="s">
        <v>351</v>
      </c>
      <c r="G13" s="15" t="s">
        <v>381</v>
      </c>
      <c r="H13" s="28" t="s">
        <v>228</v>
      </c>
      <c r="I13" s="14" t="s">
        <v>354</v>
      </c>
      <c r="J13" s="15" t="s">
        <v>36</v>
      </c>
    </row>
    <row r="14" spans="1:10">
      <c r="A14" s="20">
        <v>10</v>
      </c>
      <c r="B14" s="21" t="s">
        <v>382</v>
      </c>
      <c r="C14" s="20" t="s">
        <v>357</v>
      </c>
      <c r="D14" s="20" t="s">
        <v>350</v>
      </c>
      <c r="E14" s="20" t="s">
        <v>30</v>
      </c>
      <c r="F14" s="20" t="s">
        <v>351</v>
      </c>
      <c r="G14" s="21" t="s">
        <v>383</v>
      </c>
      <c r="H14" s="29" t="s">
        <v>235</v>
      </c>
      <c r="I14" s="20" t="s">
        <v>354</v>
      </c>
      <c r="J14" s="21" t="s">
        <v>36</v>
      </c>
    </row>
    <row r="15" spans="1:10">
      <c r="A15" s="14">
        <v>11</v>
      </c>
      <c r="B15" s="15" t="s">
        <v>384</v>
      </c>
      <c r="C15" s="14" t="s">
        <v>357</v>
      </c>
      <c r="D15" s="14" t="s">
        <v>350</v>
      </c>
      <c r="E15" s="14" t="s">
        <v>30</v>
      </c>
      <c r="F15" s="14" t="s">
        <v>351</v>
      </c>
      <c r="G15" s="15" t="s">
        <v>385</v>
      </c>
      <c r="H15" s="28" t="s">
        <v>247</v>
      </c>
      <c r="I15" s="14" t="s">
        <v>354</v>
      </c>
      <c r="J15" s="15" t="s">
        <v>36</v>
      </c>
    </row>
    <row r="16" spans="1:10">
      <c r="A16" s="20">
        <v>12</v>
      </c>
      <c r="B16" s="21" t="s">
        <v>386</v>
      </c>
      <c r="C16" s="20" t="s">
        <v>357</v>
      </c>
      <c r="D16" s="20" t="s">
        <v>350</v>
      </c>
      <c r="E16" s="20" t="s">
        <v>30</v>
      </c>
      <c r="F16" s="20" t="s">
        <v>351</v>
      </c>
      <c r="G16" s="21" t="s">
        <v>387</v>
      </c>
      <c r="H16" s="29" t="s">
        <v>388</v>
      </c>
      <c r="I16" s="20" t="s">
        <v>354</v>
      </c>
      <c r="J16" s="21" t="s">
        <v>36</v>
      </c>
    </row>
    <row r="17" spans="1:10">
      <c r="A17" s="14">
        <v>13</v>
      </c>
      <c r="B17" s="15" t="s">
        <v>389</v>
      </c>
      <c r="C17" s="14" t="s">
        <v>357</v>
      </c>
      <c r="D17" s="14" t="s">
        <v>350</v>
      </c>
      <c r="E17" s="14" t="s">
        <v>30</v>
      </c>
      <c r="F17" s="14" t="s">
        <v>351</v>
      </c>
      <c r="G17" s="15" t="s">
        <v>390</v>
      </c>
      <c r="H17" s="28" t="s">
        <v>391</v>
      </c>
      <c r="I17" s="14" t="s">
        <v>354</v>
      </c>
      <c r="J17" s="15" t="s">
        <v>392</v>
      </c>
    </row>
    <row r="18" spans="1:10">
      <c r="A18" s="20">
        <v>14</v>
      </c>
      <c r="B18" s="21" t="s">
        <v>393</v>
      </c>
      <c r="C18" s="20" t="s">
        <v>357</v>
      </c>
      <c r="D18" s="20" t="s">
        <v>394</v>
      </c>
      <c r="E18" s="20" t="s">
        <v>30</v>
      </c>
      <c r="F18" s="20" t="s">
        <v>351</v>
      </c>
      <c r="G18" s="21" t="s">
        <v>395</v>
      </c>
      <c r="H18" s="29" t="s">
        <v>270</v>
      </c>
      <c r="I18" s="20" t="s">
        <v>354</v>
      </c>
      <c r="J18" s="21" t="s">
        <v>396</v>
      </c>
    </row>
    <row r="19" spans="1:10">
      <c r="A19" s="14">
        <v>15</v>
      </c>
      <c r="B19" s="15" t="s">
        <v>397</v>
      </c>
      <c r="C19" s="14" t="s">
        <v>357</v>
      </c>
      <c r="D19" s="14" t="s">
        <v>394</v>
      </c>
      <c r="E19" s="14" t="s">
        <v>30</v>
      </c>
      <c r="F19" s="14" t="s">
        <v>351</v>
      </c>
      <c r="G19" s="15" t="s">
        <v>398</v>
      </c>
      <c r="H19" s="28" t="s">
        <v>288</v>
      </c>
      <c r="I19" s="14" t="s">
        <v>354</v>
      </c>
      <c r="J19" s="15" t="s">
        <v>36</v>
      </c>
    </row>
    <row r="20" spans="1:10">
      <c r="A20" s="20">
        <v>16</v>
      </c>
      <c r="B20" s="21" t="s">
        <v>399</v>
      </c>
      <c r="C20" s="20" t="s">
        <v>357</v>
      </c>
      <c r="D20" s="20" t="s">
        <v>394</v>
      </c>
      <c r="E20" s="20" t="s">
        <v>30</v>
      </c>
      <c r="F20" s="20" t="s">
        <v>351</v>
      </c>
      <c r="G20" s="21" t="s">
        <v>400</v>
      </c>
      <c r="H20" s="29" t="s">
        <v>308</v>
      </c>
      <c r="I20" s="20" t="s">
        <v>354</v>
      </c>
      <c r="J20" s="21" t="s">
        <v>36</v>
      </c>
    </row>
    <row r="21" spans="1:10">
      <c r="A21" s="14">
        <v>17</v>
      </c>
      <c r="B21" s="15" t="s">
        <v>401</v>
      </c>
      <c r="C21" s="14" t="s">
        <v>357</v>
      </c>
      <c r="D21" s="14" t="s">
        <v>394</v>
      </c>
      <c r="E21" s="14" t="s">
        <v>30</v>
      </c>
      <c r="F21" s="14" t="s">
        <v>351</v>
      </c>
      <c r="G21" s="15" t="s">
        <v>402</v>
      </c>
      <c r="H21" s="28" t="s">
        <v>319</v>
      </c>
      <c r="I21" s="14" t="s">
        <v>354</v>
      </c>
      <c r="J21" s="15" t="s">
        <v>36</v>
      </c>
    </row>
    <row r="22" spans="1:10">
      <c r="A22" s="20">
        <v>18</v>
      </c>
      <c r="B22" s="21" t="s">
        <v>403</v>
      </c>
      <c r="C22" s="20" t="s">
        <v>349</v>
      </c>
      <c r="D22" s="20" t="s">
        <v>350</v>
      </c>
      <c r="E22" s="20" t="s">
        <v>30</v>
      </c>
      <c r="F22" s="20" t="s">
        <v>351</v>
      </c>
      <c r="G22" s="21" t="s">
        <v>404</v>
      </c>
      <c r="H22" s="29" t="s">
        <v>405</v>
      </c>
      <c r="I22" s="20" t="s">
        <v>354</v>
      </c>
      <c r="J22" s="21" t="s">
        <v>36</v>
      </c>
    </row>
    <row r="23" spans="1:10">
      <c r="A23" s="14">
        <v>19</v>
      </c>
      <c r="B23" s="15" t="s">
        <v>406</v>
      </c>
      <c r="C23" s="14" t="s">
        <v>349</v>
      </c>
      <c r="D23" s="14" t="s">
        <v>350</v>
      </c>
      <c r="E23" s="14" t="s">
        <v>30</v>
      </c>
      <c r="F23" s="14" t="s">
        <v>351</v>
      </c>
      <c r="G23" s="15" t="s">
        <v>407</v>
      </c>
      <c r="H23" s="28" t="s">
        <v>408</v>
      </c>
      <c r="I23" s="14" t="s">
        <v>354</v>
      </c>
      <c r="J23" s="15" t="s">
        <v>409</v>
      </c>
    </row>
    <row r="24" spans="1:10">
      <c r="A24" s="20">
        <v>20</v>
      </c>
      <c r="B24" s="21" t="s">
        <v>410</v>
      </c>
      <c r="C24" s="20" t="s">
        <v>411</v>
      </c>
      <c r="D24" s="20" t="s">
        <v>412</v>
      </c>
      <c r="E24" s="20" t="s">
        <v>413</v>
      </c>
      <c r="F24" s="20" t="s">
        <v>414</v>
      </c>
      <c r="G24" s="21" t="s">
        <v>415</v>
      </c>
      <c r="H24" s="29" t="s">
        <v>416</v>
      </c>
      <c r="I24" s="20" t="s">
        <v>354</v>
      </c>
      <c r="J24" s="21" t="s">
        <v>417</v>
      </c>
    </row>
    <row r="25" spans="1:10">
      <c r="A25" s="14">
        <v>21</v>
      </c>
      <c r="B25" s="15" t="s">
        <v>418</v>
      </c>
      <c r="C25" s="14" t="s">
        <v>411</v>
      </c>
      <c r="D25" s="14" t="s">
        <v>350</v>
      </c>
      <c r="E25" s="14" t="s">
        <v>419</v>
      </c>
      <c r="F25" s="14" t="s">
        <v>420</v>
      </c>
      <c r="G25" s="15" t="s">
        <v>421</v>
      </c>
      <c r="H25" s="28" t="s">
        <v>422</v>
      </c>
      <c r="I25" s="14" t="s">
        <v>354</v>
      </c>
      <c r="J25" s="15" t="s">
        <v>36</v>
      </c>
    </row>
    <row r="26" spans="1:10">
      <c r="A26" s="20">
        <v>22</v>
      </c>
      <c r="B26" s="21" t="s">
        <v>423</v>
      </c>
      <c r="C26" s="20" t="s">
        <v>411</v>
      </c>
      <c r="D26" s="20" t="s">
        <v>350</v>
      </c>
      <c r="E26" s="20" t="s">
        <v>424</v>
      </c>
      <c r="F26" s="20" t="s">
        <v>420</v>
      </c>
      <c r="G26" s="21" t="s">
        <v>425</v>
      </c>
      <c r="H26" s="29" t="s">
        <v>426</v>
      </c>
      <c r="I26" s="20" t="s">
        <v>354</v>
      </c>
      <c r="J26" s="21" t="s">
        <v>427</v>
      </c>
    </row>
    <row r="27" spans="1:10">
      <c r="A27" s="14">
        <v>23</v>
      </c>
      <c r="B27" s="15" t="s">
        <v>428</v>
      </c>
      <c r="C27" s="14" t="s">
        <v>411</v>
      </c>
      <c r="D27" s="14" t="s">
        <v>350</v>
      </c>
      <c r="E27" s="14" t="s">
        <v>429</v>
      </c>
      <c r="F27" s="14" t="s">
        <v>430</v>
      </c>
      <c r="G27" s="15" t="s">
        <v>431</v>
      </c>
      <c r="H27" s="28" t="s">
        <v>432</v>
      </c>
      <c r="I27" s="14" t="s">
        <v>354</v>
      </c>
      <c r="J27" s="15" t="s">
        <v>433</v>
      </c>
    </row>
    <row r="28" spans="1:10">
      <c r="A28" s="20">
        <v>24</v>
      </c>
      <c r="B28" s="21" t="s">
        <v>434</v>
      </c>
      <c r="C28" s="20" t="s">
        <v>411</v>
      </c>
      <c r="D28" s="20" t="s">
        <v>350</v>
      </c>
      <c r="E28" s="20" t="s">
        <v>435</v>
      </c>
      <c r="F28" s="20" t="s">
        <v>414</v>
      </c>
      <c r="G28" s="21" t="s">
        <v>436</v>
      </c>
      <c r="H28" s="29" t="s">
        <v>437</v>
      </c>
      <c r="I28" s="20" t="s">
        <v>354</v>
      </c>
      <c r="J28" s="21" t="s">
        <v>36</v>
      </c>
    </row>
    <row r="29" spans="1:10">
      <c r="A29" s="14">
        <v>25</v>
      </c>
      <c r="B29" s="15" t="s">
        <v>438</v>
      </c>
      <c r="C29" s="14" t="s">
        <v>411</v>
      </c>
      <c r="D29" s="14" t="s">
        <v>350</v>
      </c>
      <c r="E29" s="14" t="s">
        <v>439</v>
      </c>
      <c r="F29" s="14" t="s">
        <v>414</v>
      </c>
      <c r="G29" s="15" t="s">
        <v>440</v>
      </c>
      <c r="H29" s="28" t="s">
        <v>145</v>
      </c>
      <c r="I29" s="14" t="s">
        <v>354</v>
      </c>
      <c r="J29" s="15" t="s">
        <v>441</v>
      </c>
    </row>
    <row r="30" spans="1:10">
      <c r="A30" s="20">
        <v>26</v>
      </c>
      <c r="B30" s="21" t="s">
        <v>442</v>
      </c>
      <c r="C30" s="20" t="s">
        <v>411</v>
      </c>
      <c r="D30" s="20" t="s">
        <v>350</v>
      </c>
      <c r="E30" s="20" t="s">
        <v>443</v>
      </c>
      <c r="F30" s="20" t="s">
        <v>414</v>
      </c>
      <c r="G30" s="21" t="s">
        <v>444</v>
      </c>
      <c r="H30" s="29" t="s">
        <v>445</v>
      </c>
      <c r="I30" s="20" t="s">
        <v>354</v>
      </c>
      <c r="J30" s="21" t="s">
        <v>446</v>
      </c>
    </row>
    <row r="31" spans="1:10">
      <c r="A31" s="14">
        <v>27</v>
      </c>
      <c r="B31" s="15" t="s">
        <v>447</v>
      </c>
      <c r="C31" s="14" t="s">
        <v>411</v>
      </c>
      <c r="D31" s="14" t="s">
        <v>350</v>
      </c>
      <c r="E31" s="14" t="s">
        <v>448</v>
      </c>
      <c r="F31" s="14" t="s">
        <v>449</v>
      </c>
      <c r="G31" s="15" t="s">
        <v>450</v>
      </c>
      <c r="H31" s="28" t="s">
        <v>451</v>
      </c>
      <c r="I31" s="14" t="s">
        <v>354</v>
      </c>
      <c r="J31" s="15" t="s">
        <v>452</v>
      </c>
    </row>
    <row r="32" spans="1:10">
      <c r="A32" s="20">
        <v>28</v>
      </c>
      <c r="B32" s="21" t="s">
        <v>453</v>
      </c>
      <c r="C32" s="20" t="s">
        <v>411</v>
      </c>
      <c r="D32" s="20" t="s">
        <v>350</v>
      </c>
      <c r="E32" s="20" t="s">
        <v>454</v>
      </c>
      <c r="F32" s="20" t="s">
        <v>420</v>
      </c>
      <c r="G32" s="21" t="s">
        <v>455</v>
      </c>
      <c r="H32" s="29" t="s">
        <v>456</v>
      </c>
      <c r="I32" s="20" t="s">
        <v>354</v>
      </c>
      <c r="J32" s="21" t="s">
        <v>457</v>
      </c>
    </row>
    <row r="33" spans="1:10">
      <c r="A33" s="14">
        <v>29</v>
      </c>
      <c r="B33" s="15" t="s">
        <v>458</v>
      </c>
      <c r="C33" s="14" t="s">
        <v>459</v>
      </c>
      <c r="D33" s="14" t="s">
        <v>460</v>
      </c>
      <c r="E33" s="14" t="s">
        <v>461</v>
      </c>
      <c r="F33" s="14" t="s">
        <v>462</v>
      </c>
      <c r="G33" s="15" t="s">
        <v>463</v>
      </c>
      <c r="H33" s="28" t="s">
        <v>464</v>
      </c>
      <c r="I33" s="14" t="s">
        <v>354</v>
      </c>
      <c r="J33" s="15" t="s">
        <v>465</v>
      </c>
    </row>
    <row r="34" spans="1:10">
      <c r="A34" s="20">
        <v>30</v>
      </c>
      <c r="B34" s="21" t="s">
        <v>466</v>
      </c>
      <c r="C34" s="20" t="s">
        <v>467</v>
      </c>
      <c r="D34" s="20" t="s">
        <v>468</v>
      </c>
      <c r="E34" s="20" t="s">
        <v>469</v>
      </c>
      <c r="F34" s="20" t="s">
        <v>470</v>
      </c>
      <c r="G34" s="21" t="s">
        <v>471</v>
      </c>
      <c r="H34" s="29" t="s">
        <v>472</v>
      </c>
      <c r="I34" s="20" t="s">
        <v>354</v>
      </c>
      <c r="J34" s="21" t="s">
        <v>473</v>
      </c>
    </row>
    <row r="35" spans="1:10">
      <c r="A35" s="14">
        <v>31</v>
      </c>
      <c r="B35" s="15" t="s">
        <v>474</v>
      </c>
      <c r="C35" s="14" t="s">
        <v>467</v>
      </c>
      <c r="D35" s="14" t="s">
        <v>475</v>
      </c>
      <c r="E35" s="14" t="s">
        <v>476</v>
      </c>
      <c r="F35" s="14" t="s">
        <v>477</v>
      </c>
      <c r="G35" s="15" t="s">
        <v>478</v>
      </c>
      <c r="H35" s="28" t="s">
        <v>479</v>
      </c>
      <c r="I35" s="14" t="s">
        <v>364</v>
      </c>
      <c r="J35" s="15" t="s">
        <v>480</v>
      </c>
    </row>
    <row r="36" spans="1:10">
      <c r="A36" s="20">
        <v>32</v>
      </c>
      <c r="B36" s="21" t="s">
        <v>481</v>
      </c>
      <c r="C36" s="20" t="s">
        <v>459</v>
      </c>
      <c r="D36" s="20" t="s">
        <v>482</v>
      </c>
      <c r="E36" s="20" t="s">
        <v>443</v>
      </c>
      <c r="F36" s="20" t="s">
        <v>414</v>
      </c>
      <c r="G36" s="21" t="s">
        <v>483</v>
      </c>
      <c r="H36" s="29" t="s">
        <v>484</v>
      </c>
      <c r="I36" s="20" t="s">
        <v>354</v>
      </c>
      <c r="J36" s="21" t="s">
        <v>485</v>
      </c>
    </row>
    <row r="37" spans="1:10">
      <c r="A37" s="14">
        <v>33</v>
      </c>
      <c r="B37" s="15" t="s">
        <v>486</v>
      </c>
      <c r="C37" s="14" t="s">
        <v>459</v>
      </c>
      <c r="D37" s="14" t="s">
        <v>482</v>
      </c>
      <c r="E37" s="14" t="s">
        <v>36</v>
      </c>
      <c r="F37" s="14" t="s">
        <v>487</v>
      </c>
      <c r="G37" s="15" t="s">
        <v>488</v>
      </c>
      <c r="H37" s="28" t="s">
        <v>489</v>
      </c>
      <c r="I37" s="14" t="s">
        <v>354</v>
      </c>
      <c r="J37" s="15" t="s">
        <v>490</v>
      </c>
    </row>
    <row r="38" spans="1:10">
      <c r="A38" s="20">
        <v>34</v>
      </c>
      <c r="B38" s="21" t="s">
        <v>491</v>
      </c>
      <c r="C38" s="20" t="s">
        <v>459</v>
      </c>
      <c r="D38" s="20" t="s">
        <v>492</v>
      </c>
      <c r="E38" s="20" t="s">
        <v>30</v>
      </c>
      <c r="F38" s="20" t="s">
        <v>351</v>
      </c>
      <c r="G38" s="21" t="s">
        <v>493</v>
      </c>
      <c r="H38" s="29" t="s">
        <v>494</v>
      </c>
      <c r="I38" s="20" t="s">
        <v>364</v>
      </c>
      <c r="J38" s="21" t="s">
        <v>495</v>
      </c>
    </row>
    <row r="39" spans="1:10">
      <c r="A39" s="14">
        <v>35</v>
      </c>
      <c r="B39" s="15" t="s">
        <v>496</v>
      </c>
      <c r="C39" s="14" t="s">
        <v>459</v>
      </c>
      <c r="D39" s="14" t="s">
        <v>497</v>
      </c>
      <c r="E39" s="14" t="s">
        <v>30</v>
      </c>
      <c r="F39" s="14" t="s">
        <v>351</v>
      </c>
      <c r="G39" s="15" t="s">
        <v>498</v>
      </c>
      <c r="H39" s="28" t="s">
        <v>499</v>
      </c>
      <c r="I39" s="14" t="s">
        <v>364</v>
      </c>
      <c r="J39" s="15" t="s">
        <v>500</v>
      </c>
    </row>
    <row r="40" spans="1:10">
      <c r="A40" s="20">
        <v>36</v>
      </c>
      <c r="B40" s="21" t="s">
        <v>501</v>
      </c>
      <c r="C40" s="20" t="s">
        <v>459</v>
      </c>
      <c r="D40" s="20" t="s">
        <v>502</v>
      </c>
      <c r="E40" s="20" t="s">
        <v>419</v>
      </c>
      <c r="F40" s="20" t="s">
        <v>420</v>
      </c>
      <c r="G40" s="21" t="s">
        <v>503</v>
      </c>
      <c r="H40" s="29" t="s">
        <v>504</v>
      </c>
      <c r="I40" s="20" t="s">
        <v>354</v>
      </c>
      <c r="J40" s="21" t="s">
        <v>36</v>
      </c>
    </row>
    <row r="42" spans="1:10">
      <c r="A42" s="35" t="s">
        <v>70</v>
      </c>
      <c r="B42" s="32"/>
      <c r="C42" s="32"/>
      <c r="D42" s="32"/>
      <c r="E42" s="32"/>
      <c r="F42" s="32"/>
      <c r="G42" s="32"/>
      <c r="H42" s="32"/>
      <c r="I42" s="32"/>
      <c r="J42" s="32"/>
    </row>
  </sheetData>
  <autoFilter ref="A4:J40" xr:uid="{00000000-0009-0000-0000-000002000000}"/>
  <mergeCells count="3">
    <mergeCell ref="A1:J1"/>
    <mergeCell ref="A42:J42"/>
    <mergeCell ref="A2:J2"/>
  </mergeCells>
  <hyperlinks>
    <hyperlink ref="H5" r:id="rId1" xr:uid="{00000000-0004-0000-0200-000000000000}"/>
    <hyperlink ref="H6" r:id="rId2" xr:uid="{00000000-0004-0000-0200-000001000000}"/>
    <hyperlink ref="H7" r:id="rId3" xr:uid="{00000000-0004-0000-0200-000002000000}"/>
    <hyperlink ref="H8" r:id="rId4" xr:uid="{00000000-0004-0000-0200-000003000000}"/>
    <hyperlink ref="H9" r:id="rId5" xr:uid="{00000000-0004-0000-0200-000004000000}"/>
    <hyperlink ref="H10" r:id="rId6" xr:uid="{00000000-0004-0000-0200-000005000000}"/>
    <hyperlink ref="H11" r:id="rId7" xr:uid="{00000000-0004-0000-0200-000006000000}"/>
    <hyperlink ref="H12" r:id="rId8" xr:uid="{00000000-0004-0000-0200-000007000000}"/>
    <hyperlink ref="H13" r:id="rId9" xr:uid="{00000000-0004-0000-0200-000008000000}"/>
    <hyperlink ref="H14" r:id="rId10" xr:uid="{00000000-0004-0000-0200-000009000000}"/>
    <hyperlink ref="H15" r:id="rId11" xr:uid="{00000000-0004-0000-0200-00000A000000}"/>
    <hyperlink ref="H16" r:id="rId12" xr:uid="{00000000-0004-0000-0200-00000B000000}"/>
    <hyperlink ref="H17" r:id="rId13" xr:uid="{00000000-0004-0000-0200-00000C000000}"/>
    <hyperlink ref="H18" r:id="rId14" xr:uid="{00000000-0004-0000-0200-00000D000000}"/>
    <hyperlink ref="H19" r:id="rId15" xr:uid="{00000000-0004-0000-0200-00000E000000}"/>
    <hyperlink ref="H20" r:id="rId16" xr:uid="{00000000-0004-0000-0200-00000F000000}"/>
    <hyperlink ref="H21" r:id="rId17" xr:uid="{00000000-0004-0000-0200-000010000000}"/>
    <hyperlink ref="H22" r:id="rId18" xr:uid="{00000000-0004-0000-0200-000011000000}"/>
    <hyperlink ref="H23" r:id="rId19" xr:uid="{00000000-0004-0000-0200-000012000000}"/>
    <hyperlink ref="H24" r:id="rId20" xr:uid="{00000000-0004-0000-0200-000013000000}"/>
    <hyperlink ref="H25" r:id="rId21" xr:uid="{00000000-0004-0000-0200-000014000000}"/>
    <hyperlink ref="H26" r:id="rId22" xr:uid="{00000000-0004-0000-0200-000015000000}"/>
    <hyperlink ref="H27" r:id="rId23" xr:uid="{00000000-0004-0000-0200-000016000000}"/>
    <hyperlink ref="H28" r:id="rId24" xr:uid="{00000000-0004-0000-0200-000017000000}"/>
    <hyperlink ref="H29" r:id="rId25" xr:uid="{00000000-0004-0000-0200-000018000000}"/>
    <hyperlink ref="H30" r:id="rId26" xr:uid="{00000000-0004-0000-0200-000019000000}"/>
    <hyperlink ref="H31" r:id="rId27" xr:uid="{00000000-0004-0000-0200-00001A000000}"/>
    <hyperlink ref="H32" r:id="rId28" xr:uid="{00000000-0004-0000-0200-00001B000000}"/>
    <hyperlink ref="H33" r:id="rId29" xr:uid="{00000000-0004-0000-0200-00001C000000}"/>
    <hyperlink ref="H34" r:id="rId30" xr:uid="{00000000-0004-0000-0200-00001D000000}"/>
    <hyperlink ref="H35" r:id="rId31" xr:uid="{00000000-0004-0000-0200-00001E000000}"/>
    <hyperlink ref="H36" r:id="rId32" xr:uid="{00000000-0004-0000-0200-00001F000000}"/>
    <hyperlink ref="H37" r:id="rId33" xr:uid="{00000000-0004-0000-0200-000020000000}"/>
    <hyperlink ref="H38" r:id="rId34" xr:uid="{00000000-0004-0000-0200-000021000000}"/>
    <hyperlink ref="H39" r:id="rId35" xr:uid="{00000000-0004-0000-0200-000022000000}"/>
    <hyperlink ref="H40" r:id="rId36" xr:uid="{00000000-0004-0000-0200-000023000000}"/>
  </hyperlinks>
  <pageMargins left="0.75" right="0.75" top="1" bottom="1" header="0.5" footer="0.5"/>
  <headerFooter>
    <oddFooter>&amp;C_x000D_&amp;1#&amp;"Aptos"&amp;9&amp;K000000 Information Classification: GENERAL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c541c039-171c-4677-a99e-6a275b53e9aa">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ABC933BCD1A33438CF2387F036E0CBD" ma:contentTypeVersion="15" ma:contentTypeDescription="Create a new document." ma:contentTypeScope="" ma:versionID="45e9248924972c120e6909022fca78ea">
  <xsd:schema xmlns:xsd="http://www.w3.org/2001/XMLSchema" xmlns:xs="http://www.w3.org/2001/XMLSchema" xmlns:p="http://schemas.microsoft.com/office/2006/metadata/properties" xmlns:ns1="http://schemas.microsoft.com/sharepoint/v3" xmlns:ns2="c541c039-171c-4677-a99e-6a275b53e9aa" xmlns:ns3="ec00fb24-7c6c-420b-b121-80382dc877ec" targetNamespace="http://schemas.microsoft.com/office/2006/metadata/properties" ma:root="true" ma:fieldsID="735dd2c80a3b6788626235506fdb520f" ns1:_="" ns2:_="" ns3:_="">
    <xsd:import namespace="http://schemas.microsoft.com/sharepoint/v3"/>
    <xsd:import namespace="c541c039-171c-4677-a99e-6a275b53e9aa"/>
    <xsd:import namespace="ec00fb24-7c6c-420b-b121-80382dc877ec"/>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41c039-171c-4677-a99e-6a275b53e9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bc56409-cc1e-4b4f-b6ba-23d98140628a"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00fb24-7c6c-420b-b121-80382dc877e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A5966F-B0BA-472B-89CA-F2DE9B776463}"/>
</file>

<file path=customXml/itemProps2.xml><?xml version="1.0" encoding="utf-8"?>
<ds:datastoreItem xmlns:ds="http://schemas.openxmlformats.org/officeDocument/2006/customXml" ds:itemID="{F8200FBA-E991-4794-A2E3-8170317DAC1F}"/>
</file>

<file path=customXml/itemProps3.xml><?xml version="1.0" encoding="utf-8"?>
<ds:datastoreItem xmlns:ds="http://schemas.openxmlformats.org/officeDocument/2006/customXml" ds:itemID="{77AB7C2C-FD79-438B-9E84-4F4FCEE766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 Priyadharshani</cp:lastModifiedBy>
  <cp:revision/>
  <dcterms:created xsi:type="dcterms:W3CDTF">2026-10-23T10:08:10Z</dcterms:created>
  <dcterms:modified xsi:type="dcterms:W3CDTF">2026-10-27T13:21:02Z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0x0101006ABC933BCD1A33438CF2387F036E0CBD</vt:lpwstr>
  </property>
  <property fmtid="{D5CDD505-2E9C-101B-9397-08002B2CF9AE}" pid="3" name="MSIP_Label_b60f8386-55a0-404e-9dce-4d5bc8b309d8_Enabled">
    <vt:lpwstr>true</vt:lpwstr>
  </property>
  <property fmtid="{D5CDD505-2E9C-101B-9397-08002B2CF9AE}" pid="4" name="MSIP_Label_b60f8386-55a0-404e-9dce-4d5bc8b309d8_SetDate">
    <vt:lpwstr>2026-10-27T13:20:43Z</vt:lpwstr>
  </property>
  <property fmtid="{D5CDD505-2E9C-101B-9397-08002B2CF9AE}" pid="5" name="MSIP_Label_b60f8386-55a0-404e-9dce-4d5bc8b309d8_Method">
    <vt:lpwstr>Standard</vt:lpwstr>
  </property>
  <property fmtid="{D5CDD505-2E9C-101B-9397-08002B2CF9AE}" pid="6" name="MSIP_Label_b60f8386-55a0-404e-9dce-4d5bc8b309d8_Name">
    <vt:lpwstr>b60f8386-55a0-404e-9dce-4d5bc8b309d8</vt:lpwstr>
  </property>
  <property fmtid="{D5CDD505-2E9C-101B-9397-08002B2CF9AE}" pid="7" name="MSIP_Label_b60f8386-55a0-404e-9dce-4d5bc8b309d8_SiteId">
    <vt:lpwstr>7a9376d4-7c43-480f-82ba-a090647f651d</vt:lpwstr>
  </property>
  <property fmtid="{D5CDD505-2E9C-101B-9397-08002B2CF9AE}" pid="8" name="MSIP_Label_b60f8386-55a0-404e-9dce-4d5bc8b309d8_ActionId">
    <vt:lpwstr>d61802a5-2346-451b-be18-03447ced38cb</vt:lpwstr>
  </property>
  <property fmtid="{D5CDD505-2E9C-101B-9397-08002B2CF9AE}" pid="9" name="MSIP_Label_b60f8386-55a0-404e-9dce-4d5bc8b309d8_ContentBits">
    <vt:lpwstr>2</vt:lpwstr>
  </property>
  <property fmtid="{D5CDD505-2E9C-101B-9397-08002B2CF9AE}" pid="10" name="MSIP_Label_b60f8386-55a0-404e-9dce-4d5bc8b309d8_Tag">
    <vt:lpwstr>10, 3, 0, 2</vt:lpwstr>
  </property>
  <property fmtid="{D5CDD505-2E9C-101B-9397-08002B2CF9AE}" pid="11" name="MediaServiceImageTags">
    <vt:lpwstr/>
  </property>
</Properties>
</file>