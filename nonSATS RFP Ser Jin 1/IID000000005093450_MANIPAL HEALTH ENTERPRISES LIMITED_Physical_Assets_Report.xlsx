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1" documentId="11_8EA3F32443A1E878AEB11608343C86B5E9EE0A01" xr6:coauthVersionLast="47" xr6:coauthVersionMax="47" xr10:uidLastSave="{AEB13A36-6382-41E9-80BA-ADBB530242C6}"/>
  <bookViews>
    <workbookView xWindow="0" yWindow="0" windowWidth="0" windowHeight="0" activeTab="1" xr2:uid="{00000000-000D-0000-FFFF-FFFF00000000}"/>
  </bookViews>
  <sheets>
    <sheet name="Profile &amp; Financials" sheetId="1" r:id="rId1"/>
    <sheet name="Assets Register" sheetId="2" r:id="rId2"/>
    <sheet name="Sources" sheetId="3" r:id="rId3"/>
  </sheets>
  <definedNames>
    <definedName name="_xlnm._FilterDatabase" localSheetId="1" hidden="1">'Assets Register'!$A$4:$V$70</definedName>
    <definedName name="_xlnm._FilterDatabase" localSheetId="2" hidden="1">Sources!$A$4:$J$31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</calcChain>
</file>

<file path=xl/sharedStrings.xml><?xml version="1.0" encoding="utf-8"?>
<sst xmlns="http://schemas.openxmlformats.org/spreadsheetml/2006/main" count="1623" uniqueCount="565">
  <si>
    <t>MANIPAL HEALTH ENTERPRISES LIMITED — Physical Assets Report</t>
  </si>
  <si>
    <t>Report generated: 2026-10-23 | Currency: INR</t>
  </si>
  <si>
    <t>Section A — Company Profile</t>
  </si>
  <si>
    <t>Company Name</t>
  </si>
  <si>
    <t>MANIPAL HEALTH ENTERPRISES LIMITED</t>
  </si>
  <si>
    <t>Ticker &amp; Exchange</t>
  </si>
  <si>
    <t>NSE: MANIPALHOS / BSE: 544847</t>
  </si>
  <si>
    <t>Sector / Industry</t>
  </si>
  <si>
    <t>Health Care</t>
  </si>
  <si>
    <t>Country of Incorporation</t>
  </si>
  <si>
    <t>India</t>
  </si>
  <si>
    <t>Reporting Currency</t>
  </si>
  <si>
    <t>INR</t>
  </si>
  <si>
    <t>Accounting Standard</t>
  </si>
  <si>
    <t>Ind AS (Indian Accounting Standards — IFRS converged)</t>
  </si>
  <si>
    <t>Fiscal Year End</t>
  </si>
  <si>
    <t>March 31</t>
  </si>
  <si>
    <t>Primary Operating Segments</t>
  </si>
  <si>
    <t>Multispecialty Hospitals (tertiary/quaternary CONGO-R focus: Cardiac, Oncology, Neurosciences, Gastro, Orthopedics, Renal); Outpatient Clinics; Diagnostics (Healthmap); O&amp;M / managed hospitals</t>
  </si>
  <si>
    <t>Geographic Footprint</t>
  </si>
  <si>
    <t>India — 14 states &amp; UTs as of 31 Mar 2026. Key regions: Karnataka (19 hospitals / 6,404 licensed beds); Maharashtra &amp; Goa (13 / 2,188); Eastern India — West Bengal, Odisha, Jharkhand, Sikkim (10 / 2,887); Others — Delhi NCR, Andhra Pradesh, Rajasthan, Tamil Nadu, Punjab (7 / 1,558). Metro leadership in Bengaluru, Kolkata, Pune. Post-FY26: Electronics City Bengaluru (50th hospital); pipeline Raipur (Chhattisgarh), Juhu Mumbai.</t>
  </si>
  <si>
    <t>Major Subsidiaries</t>
  </si>
  <si>
    <t>Manipal Hospitals Private Limited (100%); Manipal Hospitals (Dwarka) Private Limited (100% + HCMCT silo); Manipal Hospitals (Bengaluru) Private Limited (100%); Manipal Hospitals (East) India Private Limited / ex-AMRI (~84.07%); Manipal Hospitals Synergie Private Limited / ex-Medica Synergie (~84.94%) and Manipal Hospitals Eastern India Private Limited; Sahyadri Hospitals Private Limited (~89.98% via MHPL; further ~9.74% planned); Healthmap Diagnostics Private Limited (~50.08%); Manipal Health Enterprises International Pte. Ltd. (100%, Singapore)</t>
  </si>
  <si>
    <t>Regulated vs Unregulated</t>
  </si>
  <si>
    <t>Unregulated private healthcare services (clinical operations subject to clinical establishment / NABH-NABL accreditation regimes; not a rate-regulated utility)</t>
  </si>
  <si>
    <t>Total Employees</t>
  </si>
  <si>
    <t>~24,240 full-time employees as of 31 Mar 2026 (vs ~19,707 at 31 Mar 2025); ~11,064 doctors available across network; BSE materials also cite 24,700+ employees / 11,000+ doctors as of 30 Jun 2026</t>
  </si>
  <si>
    <t>Recent M&amp;A Activity</t>
  </si>
  <si>
    <t>Oct 2025: acquired controlling ~89.98% of Sahyadri Hospitals Private Limited (~11 hospitals / ~1,400 beds; Maharashtra) via MHPL for ~₹52,550mn consideration context / ~₹58bn Emkay EV reference; IPO proceeds partly to acquire remaining minority. Apr/Jul 2024: Medica Synergie (~84.9%, ~974 beds). Sep 2023: AMRI Hospitals (~84.07%, ~1,321 beds). Prior: Columbia Asia (Apr 2021, 12 hospitals / 1,427 beds) and Vikram Hospital (Jun 2022). Aug 2026: BTA to acquire Kinder Women's Hospital Whitefield (100 beds, ₹1,300mn). Listed on NSE/BSE 5 Aug 2026.</t>
  </si>
  <si>
    <t>Report Generated</t>
  </si>
  <si>
    <t>2026-10-23</t>
  </si>
  <si>
    <t>Primary Data Sources</t>
  </si>
  <si>
    <t>SEBI Abridged Prospectus / RHP Jul 2026; Restated Consolidated FS FY2026 (via RHP &amp; Emkay Exhibit 40); Emkay IPO Note 28 Jul 2026 hospital register; BSE investor presentations; manipalhospitals.com hospitals locator &amp; Electronics City; sahyadrihospital.com; CARE Ratings SHPL; FY2026 Annual Report pipeline via Business Standard</t>
  </si>
  <si>
    <t>Section B — Financial Summary</t>
  </si>
  <si>
    <t>Metric</t>
  </si>
  <si>
    <t>FY2026 (INR $mm)</t>
  </si>
  <si>
    <t>FY2025 (INR $mm)</t>
  </si>
  <si>
    <t>Change</t>
  </si>
  <si>
    <t>Change %</t>
  </si>
  <si>
    <t>Source</t>
  </si>
  <si>
    <t>Total Assets</t>
  </si>
  <si>
    <t>Restated Consolidated Financial Information / Emkay IPO Note Exhibit 40 Balance Sheet — Total assets ₹248,646mn (FY26) vs ₹140,721mn (FY25); Finowings/RHP summaries cite ₹248,645.03mn</t>
  </si>
  <si>
    <t>Total Liabilities (derived)</t>
  </si>
  <si>
    <t>Derived: Total Assets − Net Worth incl. NCI. Net Worth ~₹87,988mn (FY26) / ~₹60,002mn (FY25) per Finowings RHP summary → Liabilities ~₹160,658mn / ~₹80,719mn</t>
  </si>
  <si>
    <t>Net Worth (incl. NCI)</t>
  </si>
  <si>
    <t>Finowings IPO note / Restated Consolidated — Net Worth ₹87,987.63mn (FY26) vs ₹60,001.76mn (FY25)</t>
  </si>
  <si>
    <t>Equity attributable to owners</t>
  </si>
  <si>
    <t>SEBI Abridged Prospectus Summary of Restated Consolidated Information — Equity attributable to owners ₹84,260.94mn (FY26) vs ₹58,473.43mn (FY25)</t>
  </si>
  <si>
    <t>PP&amp;E — Gross Block</t>
  </si>
  <si>
    <t>Emkay IPO Note Exhibit 40 — Gross Block (PPE) ₹94,961mn (FY26) vs ₹72,349mn (FY25)</t>
  </si>
  <si>
    <t>PP&amp;E — Accumulated Depreciation</t>
  </si>
  <si>
    <t>Emkay IPO Note Exhibit 40 — Accumulated Depreciation ₹36,553mn (FY26) vs ₹30,101mn (FY25)</t>
  </si>
  <si>
    <t>PP&amp;E — Net Book Value</t>
  </si>
  <si>
    <t>Restated Consolidated / Emkay Exhibit 40 &amp; MD&amp;A — Net Block (PPE) ₹58,407.90mn (FY26) vs ₹42,247.29mn (FY25); uplift primarily Sahyadri consolidation Oct 2025</t>
  </si>
  <si>
    <t>Right-of-Use Assets — Net</t>
  </si>
  <si>
    <t>Emkay IPO Note Exhibit 40 — Net Block (ROUA) ₹23,851mn (FY26) vs ₹16,998mn (FY25)</t>
  </si>
  <si>
    <t>Capital Work-in-Progress</t>
  </si>
  <si>
    <t>Emkay IPO Note Exhibit 40 — CWIP ₹7,953mn (FY26) vs ₹6,140mn (FY25)</t>
  </si>
  <si>
    <t>Goodwill</t>
  </si>
  <si>
    <t>Emkay IPO Note Exhibit 40 — Goodwill ₹81,206mn (FY26) vs ₹33,990mn (FY25); jump driven by Sahyadri acquisition</t>
  </si>
  <si>
    <t>PP&amp;E as % of Total Assets</t>
  </si>
  <si>
    <t>Calculated: PPE NBV / Total Assets (58,408/248,646; 42,247/140,721). Decline reflects goodwill-heavy Sahyadri purchase-price allocation</t>
  </si>
  <si>
    <t>Capital Expenditures — PPE/Intangibles/ROU additions</t>
  </si>
  <si>
    <t>Restated cash-flow / Emkay — Acquisition of PPE, intangible assets and ROU ₹13,161.91mn (FY26) vs ₹10,543mn (FY25)</t>
  </si>
  <si>
    <t>Investing — Subsidiaries / Acquisitions</t>
  </si>
  <si>
    <t>Emkay cash-flow bridge — Subsidiaries/Acquisitions ₹59,039mn (FY26; primarily Sahyadri) vs ₹15,660mn (FY25; Medica etc.)</t>
  </si>
  <si>
    <t>Depreciation &amp; Amortisation</t>
  </si>
  <si>
    <t>Restated P&amp;L / India Infoline MD&amp;A — D&amp;A ₹6,795.48mn (FY26) vs ₹5,068.36mn (FY25); PPE D&amp;A ₹4,701.06mn vs ₹3,476.58mn</t>
  </si>
  <si>
    <t>Revenue from Operations (Restated)</t>
  </si>
  <si>
    <t>SEBI Abridged Prospectus / Restated Consolidated — ₹103,357.51mn (FY26) vs ₹82,422.50mn (FY25)</t>
  </si>
  <si>
    <t>Revenue from Operations (Pro Forma)</t>
  </si>
  <si>
    <t>KPI certificate / Abridged Prospectus pro forma — ₹109,356.18mn (FY26) vs ₹92,635.56mn (FY25); includes full-period Sahyadri</t>
  </si>
  <si>
    <t>EBITDA (excl. exceptional items)</t>
  </si>
  <si>
    <t>Abridged Prospectus KPIs — ₹27,959.37mn (FY26 restated) vs ₹22,470.70mn (FY25)</t>
  </si>
  <si>
    <t>Adjusted EBITDA</t>
  </si>
  <si>
    <t>Abridged Prospectus KPIs — Adjusted EBITDA ₹26,441.46mn (FY26) vs ₹21,653.62mn (FY25)</t>
  </si>
  <si>
    <t>Total Borrowings</t>
  </si>
  <si>
    <t>SEBI Abridged Prospectus Summary — Total borrowings ₹105,534.31mn (FY26) vs ₹47,668.26mn (FY25); acquisition financing for Sahyadri</t>
  </si>
  <si>
    <t>Licensed Beds (network KPI)</t>
  </si>
  <si>
    <t>Restated/pro forma KPIs — 13,037 licensed beds (49 hospitals) as of 31 Mar 2026 vs 12,100 (47 hospitals) FY25 restated</t>
  </si>
  <si>
    <t>Operational Beds (restated)</t>
  </si>
  <si>
    <t>Abridged Prospectus KPIs — Operational beds 6,227 (FY26 restated) vs 5,179 (FY25)</t>
  </si>
  <si>
    <t>Section C — PP&amp;E Estimation Note</t>
  </si>
  <si>
    <t>PP&amp;E figures are from Restated Consolidated Financial Information under Ind AS (summarised in the July 2026 RHP/Abridged Prospectus and Emkay IPO Note Exhibit 40). Net PP&amp;E rose to ₹58,408mn at 31 Mar 2026 from ₹42,247mn at 31 Mar 2025, primarily due to consolidation of Sahyadri Hospitals (controlling stake acquired Oct 2025) and ongoing organic capex. Gross PP&amp;E ₹94,961mn; accumulated depreciation ₹36,553mn. Right-of-use assets net ₹23,851mn and CWIP ₹7,953mn are material complements to owned PP&amp;E. Goodwill ₹81,206mn (vs ₹33,990mn) is not PP&amp;E but dominates the post-Sahyadri balance sheet; PPE/Total Assets therefore fell to ~23.5%. Cash capex for PPE/intangibles/ROU was ₹13,162mn in FY26 (vs ₹10,543mn FY25); acquisition investing outflows were ~₹59bn. Facility-level book values are not disclosed — capacity criticality uses licensed beds and strategic designation. Six O&amp;M hospitals (Kasturba Manipal, Attavar, Kateel, Karkala, Udupi, Central Referral Hospital Sikkim) contribute licensed beds/KPIs but generally do not contribute owned PP&amp;E. Hospital-wise licensed beds as of 31 Mar 2026 are taken from Emkay Exhibit 2 (sourced to Company/RHP page 238 'Our Hospitals and Facilities'). Track B website crawl (manipalhospitals.com hospitals locator, city about pages, Electronics City, IPO/financial-report pages) plus Sahyadri subsidiary site confirmed names/locations; Electronics City (300 beds, ~Aug 2026) and growth projects (Juhu 603, Wakad 475, Raipur 360, Budigere 240, Kinder 100, brownfield 483) are included as post-cutoff / pipeline assets. Outpatient clinics are listed separately (Tier 3) and are not in the 49-hospital bed KPI. Currency throughout: Indian Rupee millions unless noted. Report date 2026-10-23.</t>
  </si>
  <si>
    <t>Compiled from public disclosures. For reference purposes only. | MANIPAL HEALTH ENTERPRISES LIMITED Physical Assets Report | Generated 2026-10-23</t>
  </si>
  <si>
    <t>MANIPAL HEALTH ENTERPRISES LIMITED — Physical Assets Register</t>
  </si>
  <si>
    <t>All disclosed physical assets from official filings and company website | 2026-10-23</t>
  </si>
  <si>
    <t>#</t>
  </si>
  <si>
    <t>Asset / Facility Name</t>
  </si>
  <si>
    <t>Segment</t>
  </si>
  <si>
    <t>Asset Category</t>
  </si>
  <si>
    <t>Asset Type / Technology</t>
  </si>
  <si>
    <t>City</t>
  </si>
  <si>
    <t>Region / State / Province</t>
  </si>
  <si>
    <t>Country</t>
  </si>
  <si>
    <t>Capacity (Value)</t>
  </si>
  <si>
    <t>Capacity (Unit)</t>
  </si>
  <si>
    <t>Status</t>
  </si>
  <si>
    <t>Year Commissioned</t>
  </si>
  <si>
    <t>Expected In-Service Date</t>
  </si>
  <si>
    <t>Ownership %</t>
  </si>
  <si>
    <t>JV Partner(s)</t>
  </si>
  <si>
    <t>Est. Project Cost</t>
  </si>
  <si>
    <t>Cost Currency</t>
  </si>
  <si>
    <t>FID Status</t>
  </si>
  <si>
    <t>Subsidiary / Holding Entity</t>
  </si>
  <si>
    <t>Notes</t>
  </si>
  <si>
    <t>Criticality ⭐</t>
  </si>
  <si>
    <t>Manipal Hospital Old Airport Road</t>
  </si>
  <si>
    <t>Karnataka — Bengaluru Metro</t>
  </si>
  <si>
    <t>Plant</t>
  </si>
  <si>
    <t>Multispecialty Tertiary/Quaternary Hospital</t>
  </si>
  <si>
    <t>Bengaluru</t>
  </si>
  <si>
    <t>Karnataka</t>
  </si>
  <si>
    <t>licensed beds</t>
  </si>
  <si>
    <t>Active</t>
  </si>
  <si>
    <t>N/A</t>
  </si>
  <si>
    <t>Manipal Hospitals Private Limited / Manipal Health Enterprises Limited</t>
  </si>
  <si>
    <t>Flagship hospital; ranked #1 in Bengaluru by The Week–Hansa Survey for 20 consecutive years (2005–2025). Website historically cites ~650 beds; RHP/Emkay licensed beds 700 as of 31 Mar 2026. Core CONGO-R tertiary/quaternary hub.</t>
  </si>
  <si>
    <t>Emkay IPO Note 28 Jul 2026 Exhibit 2 (Company/RHP) | https://www.manipalhospitals.com/bangalore/hospital/manipal-hospital-old-airport-road/ | SEBI Abridged Prospectus Jul 2026</t>
  </si>
  <si>
    <t>Tier 1 — Core</t>
  </si>
  <si>
    <t>Manipal Hospital Whitefield</t>
  </si>
  <si>
    <t>Multispecialty Tertiary Hospital</t>
  </si>
  <si>
    <t>Manipal Hospitals Private Limited</t>
  </si>
  <si>
    <t>Former Columbia Asia unit (acquired Apr 2021). East Bengaluru IT-corridor tertiary hub.</t>
  </si>
  <si>
    <t>Emkay IPO Note 28 Jul 2026 Exhibit 2 | https://www.manipalhospitals.com/hospitals/</t>
  </si>
  <si>
    <t>Tier 2 — Important</t>
  </si>
  <si>
    <t>Manipal Hospital Kanakapura Road</t>
  </si>
  <si>
    <t>South Bengaluru facility on company hospitals locator.</t>
  </si>
  <si>
    <t>Manipal Hospital Yelahanka</t>
  </si>
  <si>
    <t>North Bengaluru facility; investor materials reference advanced LINAC capability at North Bengaluru campus.</t>
  </si>
  <si>
    <t>Emkay IPO Note 28 Jul 2026 Exhibit 2 | BSE investor presentation | https://www.manipalhospitals.com/hospitals/</t>
  </si>
  <si>
    <t>Manipal Hospital Millers Road</t>
  </si>
  <si>
    <t>Multispecialty Tertiary Hospital (ex-Vikram)</t>
  </si>
  <si>
    <t>Former Vikram Hospital Bengaluru (acquired Jun 2022; ~220 licensed beds).</t>
  </si>
  <si>
    <t>Emkay IPO Note 28 Jul 2026 Exhibits 2 &amp; 7 | https://www.manipalhospitals.com/hospitals/</t>
  </si>
  <si>
    <t>Manipal Hospital Sarjapur Road</t>
  </si>
  <si>
    <t>Southeast Bengaluru tertiary hospital.</t>
  </si>
  <si>
    <t>Manipal Hospital Varthur Road</t>
  </si>
  <si>
    <t>Whitefield/Varthur micro-market; former Columbia Asia unit.</t>
  </si>
  <si>
    <t>Manipal Hospital Yeshwanthpur</t>
  </si>
  <si>
    <t>West Bengaluru tertiary hospital.</t>
  </si>
  <si>
    <t>Manipal North Side Hospital, Malleshwaram</t>
  </si>
  <si>
    <t>Multispecialty Secondary/Tertiary Hospital</t>
  </si>
  <si>
    <t>Malleshwaram / North Side campus.</t>
  </si>
  <si>
    <t>Manipal Hospital Hebbal</t>
  </si>
  <si>
    <t>Hebbal facility; former Columbia Asia unit.</t>
  </si>
  <si>
    <t>Malathi Manipal Hospital, Jayanagar</t>
  </si>
  <si>
    <t>Jayanagar campus branded Malathi Manipal Hospital.</t>
  </si>
  <si>
    <t>Tier 3 — Supporting</t>
  </si>
  <si>
    <t>Manipal Hospital Doddaballapur</t>
  </si>
  <si>
    <t>Multispecialty Secondary Hospital</t>
  </si>
  <si>
    <t>Doddaballapur</t>
  </si>
  <si>
    <t>Small peripheral Bengaluru-region hospital.</t>
  </si>
  <si>
    <t>KMC Hospital Mangaluru</t>
  </si>
  <si>
    <t>Karnataka — Coastal / Non-Metro</t>
  </si>
  <si>
    <t>Mangaluru</t>
  </si>
  <si>
    <t>Large Mangaluru tertiary hospital (KMC Hospital on company locator). Distinct from O&amp;M Kasturba Medical College Hospital Attavar.</t>
  </si>
  <si>
    <t>Manipal Hospital Mysuru</t>
  </si>
  <si>
    <t>Karnataka — Non-Metro</t>
  </si>
  <si>
    <t>Mysuru</t>
  </si>
  <si>
    <t>Former Columbia Asia Mysore unit.</t>
  </si>
  <si>
    <t>Kasturba Hospital Manipal</t>
  </si>
  <si>
    <t>Karnataka — O&amp;M / Teaching Hospital</t>
  </si>
  <si>
    <t>Multispecialty Tertiary/Quaternary Teaching Hospital (O&amp;M)</t>
  </si>
  <si>
    <t>Manipal</t>
  </si>
  <si>
    <t>Manipal Academy / related teaching-hospital O&amp;M arrangement</t>
  </si>
  <si>
    <t>O&amp;M — PP&amp;E not owned by MHEL</t>
  </si>
  <si>
    <t>Largest single facility by licensed beds (~17% of Mar-2026 network). One of six O&amp;M hospitals. Named key facility in RHP.</t>
  </si>
  <si>
    <t>Emkay IPO Note 28 Jul 2026 Exhibit 2 (*O&amp;M) | SEBI Abridged Prospectus Jul 2026</t>
  </si>
  <si>
    <t>Kasturba Medical College Hospital Attavar, Mangaluru</t>
  </si>
  <si>
    <t>Multispecialty Tertiary Teaching Hospital (O&amp;M)</t>
  </si>
  <si>
    <t>Manipal Academy / related O&amp;M arrangement</t>
  </si>
  <si>
    <t>O&amp;M hospital; part of Karnataka O&amp;M licensed-bed pool (~3,285 beds with other coastal O&amp;M units per BSE presentation).</t>
  </si>
  <si>
    <t>Emkay IPO Note 28 Jul 2026 Exhibit 2 (*O&amp;M) | BSE corporate presentation</t>
  </si>
  <si>
    <t>Dr. TMA Pai Hospital Udupi</t>
  </si>
  <si>
    <t>Karnataka — O&amp;M</t>
  </si>
  <si>
    <t>Multispecialty Hospital (O&amp;M)</t>
  </si>
  <si>
    <t>Udupi</t>
  </si>
  <si>
    <t>Related O&amp;M arrangement</t>
  </si>
  <si>
    <t>O&amp;M hospital in coastal Karnataka.</t>
  </si>
  <si>
    <t>Emkay IPO Note 28 Jul 2026 Exhibit 2 (*O&amp;M)</t>
  </si>
  <si>
    <t>Durga Sanjeevani Hospital Kateel</t>
  </si>
  <si>
    <t>Kateel</t>
  </si>
  <si>
    <t>O&amp;M hospital.</t>
  </si>
  <si>
    <t>TMA Pai Rotary Hospital Karkala</t>
  </si>
  <si>
    <t>Karkala</t>
  </si>
  <si>
    <t>Manipal Hospital EM Bypass</t>
  </si>
  <si>
    <t>Eastern India — Kolkata Metro</t>
  </si>
  <si>
    <t>Multispecialty Tertiary/Quaternary Hospital (ex-Medica)</t>
  </si>
  <si>
    <t>Kolkata</t>
  </si>
  <si>
    <t>West Bengal</t>
  </si>
  <si>
    <t>Non-controlling interests in Manipal Hospitals Synergie / Eastern India chain (~15%)</t>
  </si>
  <si>
    <t>Manipal Hospitals Synergie Private Limited / Manipal Hospitals Eastern India Private Limited (ex-Medica)</t>
  </si>
  <si>
    <t>Key RHP facility (500 licensed beds). Former Medica Super Specialty EM Bypass; Medica Synergie acquired Apr/Jul 2024 (~84.9%).</t>
  </si>
  <si>
    <t>Emkay IPO Note 28 Jul 2026 Exhibit 2 | SEBI Abridged Prospectus Jul 2026 | India Ratings subsidiary list</t>
  </si>
  <si>
    <t>Manipal Hospital Dhakuria</t>
  </si>
  <si>
    <t>Multispecialty Tertiary Hospital (ex-AMRI)</t>
  </si>
  <si>
    <t>Non-controlling interests in Manipal Hospitals (East) India Private Limited (~16%)</t>
  </si>
  <si>
    <t>Manipal Hospitals (East) India Private Limited (formerly AMRI Hospitals)</t>
  </si>
  <si>
    <t>Former AMRI Dhakuria; AMRI acquired Sep 2023 (~84.07%).</t>
  </si>
  <si>
    <t>Emkay IPO Note 28 Jul 2026 Exhibits 2 &amp; 7 | India Ratings subsidiary list</t>
  </si>
  <si>
    <t>Manipal Hospital Mukundapur</t>
  </si>
  <si>
    <t>Former AMRI Mukundapur.</t>
  </si>
  <si>
    <t>Manipal Hospital Broadway</t>
  </si>
  <si>
    <t>Multispecialty Tertiary Hospital (ex-Medica)</t>
  </si>
  <si>
    <t>Non-controlling interests in Medica/Synergie chain (~15%)</t>
  </si>
  <si>
    <t>Manipal Hospitals Synergie Private Limited (ex-Medica Synergie)</t>
  </si>
  <si>
    <t>Kolkata Broadway campus; Medica Synergie acquisition cohort.</t>
  </si>
  <si>
    <t>Manipal Hospital Salt Lake</t>
  </si>
  <si>
    <t>Multispecialty Tertiary Hospital (ex-AMRI/Columbia)</t>
  </si>
  <si>
    <t>Non-controlling interests where applicable (~16% East chain) / N/A if wholly within MHPL</t>
  </si>
  <si>
    <t>Manipal Hospitals (East) India Private Limited / Manipal Hospitals Private Limited</t>
  </si>
  <si>
    <t>Salt Lake campus; historically associated with AMRI/Columbia Asia Kolkata footprint.</t>
  </si>
  <si>
    <t>Manipal Hospital Siliguri</t>
  </si>
  <si>
    <t>Eastern India — North Bengal</t>
  </si>
  <si>
    <t>Siliguri</t>
  </si>
  <si>
    <t>Manipal Hospitals Synergie Private Limited / Manipal Hospitals Bengal Private Limited</t>
  </si>
  <si>
    <t>Siliguri city hospital; Medica Synergie acquisition (Kolkata, Ranchi, Siliguri).</t>
  </si>
  <si>
    <t>Manipal Hospital Rangapani</t>
  </si>
  <si>
    <t>Rangapani</t>
  </si>
  <si>
    <t>Non-controlling interests in Medica/Synergie / Bengal chain (~15%)</t>
  </si>
  <si>
    <t>Manipal Hospitals Bengal Private Limited (formerly North Bengal Clinic) / MHSPL</t>
  </si>
  <si>
    <t>Smaller North Bengal facility near Siliguri.</t>
  </si>
  <si>
    <t>Manipal Hospital Bhubaneswar</t>
  </si>
  <si>
    <t>Eastern India — Odisha</t>
  </si>
  <si>
    <t>Bhubaneswar</t>
  </si>
  <si>
    <t>Odisha</t>
  </si>
  <si>
    <t>Odisha flagship from AMRI acquisition; marks Manipal entry into Odisha.</t>
  </si>
  <si>
    <t>Bhagwan Mahavir Manipal Hospital Ranchi</t>
  </si>
  <si>
    <t>Eastern India — Jharkhand</t>
  </si>
  <si>
    <t>Ranchi</t>
  </si>
  <si>
    <t>Jharkhand</t>
  </si>
  <si>
    <t>Ranchi tertiary hospital from Medica Synergie acquisition.</t>
  </si>
  <si>
    <t>Central Referral Hospital Sikkim</t>
  </si>
  <si>
    <t>Eastern India — Sikkim O&amp;M</t>
  </si>
  <si>
    <t>Multispecialty Tertiary Hospital (O&amp;M)</t>
  </si>
  <si>
    <t>Gangtok</t>
  </si>
  <si>
    <t>Sikkim</t>
  </si>
  <si>
    <t>Eastern India Health Foundation (EIHF) — concession / O&amp;M arrangement</t>
  </si>
  <si>
    <t>Sixth O&amp;M hospital; ~500 O&amp;M licensed beds in East India cluster per BSE presentation. Operated under concession/MOU framework referenced in RHP risk factors.</t>
  </si>
  <si>
    <t>Emkay IPO Note 28 Jul 2026 Exhibit 2 (*O&amp;M) | BSE corporate presentation | RHP O&amp;M risk factor</t>
  </si>
  <si>
    <t>Manipal Hospital Pune Baner</t>
  </si>
  <si>
    <t>Maharashtra &amp; Goa — Pune Metro</t>
  </si>
  <si>
    <t>Pune</t>
  </si>
  <si>
    <t>Maharashtra</t>
  </si>
  <si>
    <t>Greenfield Baner unit (CY2021). Pre-Sahyadri Manipal Pune presence alongside Kharadi.</t>
  </si>
  <si>
    <t>Manipal Hospital Pune Kharadi</t>
  </si>
  <si>
    <t>Earlier Manipal greenfield in Pune (CY2010); former Columbia Asia cohort geography.</t>
  </si>
  <si>
    <t>Manipal Hospital Goa</t>
  </si>
  <si>
    <t>Maharashtra &amp; Goa — Goa</t>
  </si>
  <si>
    <t>Panaji / Goa</t>
  </si>
  <si>
    <t>Goa</t>
  </si>
  <si>
    <t>Goa tertiary hospital; part of Maharashtra &amp; Goa cluster (2,188 licensed beds region total as of 31 Mar 2026).</t>
  </si>
  <si>
    <t>Sahyadri Super Speciality Hospital Hadapsar</t>
  </si>
  <si>
    <t>Maharashtra &amp; Goa — Sahyadri / Pune</t>
  </si>
  <si>
    <t>Minority shareholders in Sahyadri Hospitals Private Limited (~10%; further stake acquisition planned via IPO proceeds)</t>
  </si>
  <si>
    <t>Sahyadri Hospitals Private Limited (via Manipal Hospitals Private Limited)</t>
  </si>
  <si>
    <t>Largest Sahyadri Pune unit; oncology/transplant capabilities per Sahyadri site. Acquired with Sahyadri Group Oct 2025 (controlling stake 89.98%).</t>
  </si>
  <si>
    <t>Emkay IPO Note 28 Jul 2026 Exhibit 2 | CARE Ratings SHPL Jun 2026 | https://sahyadrihospital.com/hadapsar/</t>
  </si>
  <si>
    <t>Sahyadri Super Speciality Hospital Nagar Road</t>
  </si>
  <si>
    <t>Sahyadri Hospitals Private Limited minority (~10%)</t>
  </si>
  <si>
    <t>Sahyadri Hospitals Private Limited</t>
  </si>
  <si>
    <t>Also referred to as Yerawada / Nagar Road campus in market listings.</t>
  </si>
  <si>
    <t>Emkay IPO Note 28 Jul 2026 Exhibit 2 | https://sahyadrihospital.com/</t>
  </si>
  <si>
    <t>Sahyadri Super Speciality Hospital Deccan Gymkhana</t>
  </si>
  <si>
    <t>Multispecialty Tertiary/Quaternary Hospital (Neurology heritage)</t>
  </si>
  <si>
    <t>Sahyadri Hospitals Private Limited minority (~10%); Konkan Mitra Mandal Medical Trust (KMMMT) collaboration referenced in group disclosures for certain Pune arrangements</t>
  </si>
  <si>
    <t>Flagship Sahyadri Deccan campus (group origins via Pune Institute of Neurology). Emkay marks with asterisk; treated as Sahyadri-operated consolidated unit (not one of the six pure O&amp;M bed-pool hospitals by BSE O&amp;M bed math).</t>
  </si>
  <si>
    <t>Emkay IPO Note 28 Jul 2026 Exhibit 2 | https://sahyadrihospital.com/deccan/ | RHP O&amp;M/collaboration disclosures</t>
  </si>
  <si>
    <t>Sahyadri Super Speciality Hospital Shivajinagar</t>
  </si>
  <si>
    <t>Multispecialty Hospital</t>
  </si>
  <si>
    <t>Smaller Pune Sahyadri unit.</t>
  </si>
  <si>
    <t>Emkay IPO Note 28 Jul 2026 Exhibit 2</t>
  </si>
  <si>
    <t>Surya Sahyadri Hospital</t>
  </si>
  <si>
    <t>Kasba Peth / Surya Sahyadri campus per market directories.</t>
  </si>
  <si>
    <t>Emkay IPO Note 28 Jul 2026 Exhibit 2 | market hospital directories</t>
  </si>
  <si>
    <t>Sahyadri Hospital Bibwewadi</t>
  </si>
  <si>
    <t>Small Pune unit.</t>
  </si>
  <si>
    <t>Sahyadri Hospital Kothrud</t>
  </si>
  <si>
    <t>Kothrud / Paud Road campus; Sahyadri registered office locality.</t>
  </si>
  <si>
    <t>Saideep Sahyadri Hospital</t>
  </si>
  <si>
    <t>Maharashtra &amp; Goa — Sahyadri / Ahilyanagar</t>
  </si>
  <si>
    <t>Ahilyanagar (Ahmednagar)</t>
  </si>
  <si>
    <t>Ahilyanagar (Ahmednagar) tertiary hospital in Sahyadri network.</t>
  </si>
  <si>
    <t>Emkay IPO Note 28 Jul 2026 Exhibit 2 | OTPP Sahyadri sale announcement Jul 2025</t>
  </si>
  <si>
    <t>Sahyadri Super Speciality Hospital Nashik</t>
  </si>
  <si>
    <t>Maharashtra &amp; Goa — Sahyadri / Nashik</t>
  </si>
  <si>
    <t>Nashik</t>
  </si>
  <si>
    <t>Nashik Dwarka Circle campus. Q1FY27 update: LINAC launched; brownfield +103 beds noted in Sahyadri integration update.</t>
  </si>
  <si>
    <t>Emkay IPO Note 28 Jul 2026 Exhibit 2 | BSE Q1FY27 Sahyadri integration presentation</t>
  </si>
  <si>
    <t>Sahyadri Super Speciality Hospital Karad</t>
  </si>
  <si>
    <t>Maharashtra &amp; Goa — Sahyadri / Karad</t>
  </si>
  <si>
    <t>Karad</t>
  </si>
  <si>
    <t>Karad / Satara-district tertiary hospital.</t>
  </si>
  <si>
    <t>Emkay IPO Note 28 Jul 2026 Exhibit 2 | OTPP announcement Jul 2025</t>
  </si>
  <si>
    <t>HCMCT Manipal Hospital Dwarka</t>
  </si>
  <si>
    <t>Others — Delhi NCR</t>
  </si>
  <si>
    <t>Multispecialty Tertiary/Quaternary Hospital (HCMCT collaboration)</t>
  </si>
  <si>
    <t>Dwarka</t>
  </si>
  <si>
    <t>Delhi</t>
  </si>
  <si>
    <t>Human Care Medical Charitable Trust (HCMCT) — joint management / collaboration agreement (silo accounting)</t>
  </si>
  <si>
    <t>Manipal Hospitals (Dwarka) Private Limited</t>
  </si>
  <si>
    <t>Operated under Management &amp; Collaboration Agreement with HCMCT on HCMCT land in Dwarka. MHDPL consolidates a ring-fenced silo. One of three collaboration/concession hospitals (HCMCT, EIHF, KMMMT) referenced in RHP.</t>
  </si>
  <si>
    <t>Emkay IPO Note 28 Jul 2026 Exhibit 2 | India Ratings subsidiary notes | https://www.manipalhospitals.com/hospitals/</t>
  </si>
  <si>
    <t>Manipal Hospital Gurugram</t>
  </si>
  <si>
    <t>Gurugram</t>
  </si>
  <si>
    <t>Haryana</t>
  </si>
  <si>
    <t>Former Columbia Asia Gurugram unit.</t>
  </si>
  <si>
    <t>Manipal Hospital Ghaziabad</t>
  </si>
  <si>
    <t>Ghaziabad</t>
  </si>
  <si>
    <t>Uttar Pradesh</t>
  </si>
  <si>
    <t>Former Columbia Asia Ghaziabad unit.</t>
  </si>
  <si>
    <t>Manipal Hospital Vijayawada</t>
  </si>
  <si>
    <t>Others — Andhra Pradesh</t>
  </si>
  <si>
    <t>Guntur / Vijayawada</t>
  </si>
  <si>
    <t>Andhra Pradesh</t>
  </si>
  <si>
    <t>Coastal Andhra tertiary hospital; website city page historically cites large bedded tertiary care campus. Emkay lists Guntur (Andhra Pradesh) location with 400 licensed beds.</t>
  </si>
  <si>
    <t>Emkay IPO Note 28 Jul 2026 Exhibit 2 | https://www.manipalhospitals.com/vijayawada/about-us/</t>
  </si>
  <si>
    <t>Manipal Hospital Jaipur</t>
  </si>
  <si>
    <t>Others — Rajasthan</t>
  </si>
  <si>
    <t>Jaipur</t>
  </si>
  <si>
    <t>Rajasthan</t>
  </si>
  <si>
    <t>Manipal Hospitals Private Limited (Jaipur unit historically under Manipal Hospitals (Jaipur) Private Limited / scheme demerger)</t>
  </si>
  <si>
    <t>Jaipur tertiary hospital.</t>
  </si>
  <si>
    <t>Manipal Hospital Salem</t>
  </si>
  <si>
    <t>Others — Tamil Nadu</t>
  </si>
  <si>
    <t>Salem</t>
  </si>
  <si>
    <t>Tamil Nadu</t>
  </si>
  <si>
    <t>Salem tertiary hospital.</t>
  </si>
  <si>
    <t>Manipal Hospital Patiala</t>
  </si>
  <si>
    <t>Others — Punjab</t>
  </si>
  <si>
    <t>Patiala</t>
  </si>
  <si>
    <t>Punjab</t>
  </si>
  <si>
    <t>Former Columbia Asia Patiala unit.</t>
  </si>
  <si>
    <t>Manipal Hospital Electronics City</t>
  </si>
  <si>
    <t>Multispecialty Tertiary/Quaternary Hospital (Greenfield)</t>
  </si>
  <si>
    <t>50th hospital; commissioned ~Aug 2026 (post 31 Mar 2026 balance-sheet cut-off). 300-bed tertiary/quaternary campus at Electronic City Phase 3 (Neeladri Road). Equipped with 3T MRI, 128-slice CT, PET-CT, LINAC, cath lab. Network licensed beds cited ~13,140 as of Jun/Aug 2026 after commissioning. Pipeline materials also referenced ~265 Electronic City beds pre-opening.</t>
  </si>
  <si>
    <t>https://www.manipalhospitals.com/electronicscity/about-us/ | Q1FY27 earnings commentary | Jefferies/IPO pipeline notes</t>
  </si>
  <si>
    <t>Manipal Hospital Juhu (Greenfield)</t>
  </si>
  <si>
    <t>Maharashtra &amp; Goa — Mumbai Metro</t>
  </si>
  <si>
    <t>Mumbai (Juhu)</t>
  </si>
  <si>
    <t>Under Construction</t>
  </si>
  <si>
    <t>By FY2030 (phased; follows Raipur in management sequencing)</t>
  </si>
  <si>
    <t>FID Taken</t>
  </si>
  <si>
    <t>Key greenfield pillar. Remaining land and building acquired for ₹4,950 million (₹495 crore), of which ₹1,300 million payable subject to conditions. Largest disclosed single greenfield bed add in pipeline.</t>
  </si>
  <si>
    <t>Business Standard / ET Healthworld IPO commentary | FY2026 Annual Report disclosures via press | Emkay expansion pipeline</t>
  </si>
  <si>
    <t>Manipal Hospital Wakad (Greenfield)</t>
  </si>
  <si>
    <t>Multispecialty Tertiary Hospital (Greenfield)</t>
  </si>
  <si>
    <t>Pune (Wakad)</t>
  </si>
  <si>
    <t>Post-Raipur; targeted within FY27–FY30 expansion window</t>
  </si>
  <si>
    <t>Manipal Hospitals Private Limited / Sahyadri Hospitals Private Limited (integration geography)</t>
  </si>
  <si>
    <t>Construction commenced per Q1FY27 Sahyadri integration update. ~475 greenfield beds in Pune west micro-market.</t>
  </si>
  <si>
    <t>BSE Q1FY27 presentation | Jefferies pipeline note | Arthneeti Q1FY27 earnings summary</t>
  </si>
  <si>
    <t>Manipal Hospital Raipur (Greenfield)</t>
  </si>
  <si>
    <t>Others — Chhattisgarh</t>
  </si>
  <si>
    <t>Raipur</t>
  </si>
  <si>
    <t>Chhattisgarh</t>
  </si>
  <si>
    <t>End of FY2027 (management guidance)</t>
  </si>
  <si>
    <t>Entry into Central India; ~360 greenfield beds. Sequenced ahead of Juhu/Wakad in earnings-call commentary.</t>
  </si>
  <si>
    <t>ET Healthworld IPO press briefing | Arthneeti Q1FY27 earnings summary | Jefferies pipeline note</t>
  </si>
  <si>
    <t>Manipal Hospital Budigere (Greenfield)</t>
  </si>
  <si>
    <t>Bengaluru (Budigere)</t>
  </si>
  <si>
    <t>Planned</t>
  </si>
  <si>
    <t>By FY2030 (pipeline)</t>
  </si>
  <si>
    <t>Announced</t>
  </si>
  <si>
    <t>~240 greenfield beds in Budigere, Bengaluru per Jefferies/IPO pipeline disclosures. Company also operates Manipal Clinic Budigere (outpatient).</t>
  </si>
  <si>
    <t>Jefferies pipeline commentary (via inkl) | https://www.manipalhospitals.com/hospitals/</t>
  </si>
  <si>
    <t>Kinder Women's Hospital Whitefield (Acquisition)</t>
  </si>
  <si>
    <t>Women's / Specialty Hospital (Acquisition)</t>
  </si>
  <si>
    <t>Integration within ~90-day regulatory window from Aug 2026 BTA</t>
  </si>
  <si>
    <t>Business Transfer Agreement signed 18 Aug 2026 to acquire Kinder Women's Hospital, Whitefield for ₹1,300 million (₹130 crore). Consolidates Whitefield micro-market.</t>
  </si>
  <si>
    <t>Q1FY27 / Aug 2026 company news (Sahi/market reports)</t>
  </si>
  <si>
    <t>Network Brownfield Bed Expansion Programme</t>
  </si>
  <si>
    <t>Pan-India — Existing Hospitals</t>
  </si>
  <si>
    <t>Brownfield Capacity Expansion Programme</t>
  </si>
  <si>
    <t>Multiple</t>
  </si>
  <si>
    <t>Multiple (focus Karnataka, Maharashtra &amp; Goa, East India)</t>
  </si>
  <si>
    <t>licensed beds (planned adds)</t>
  </si>
  <si>
    <t>By FY2030 (phased; includes Nashik +103 beds underway)</t>
  </si>
  <si>
    <t>Manipal Health Enterprises Limited consolidated entities</t>
  </si>
  <si>
    <t>Identified brownfield pipeline of ~483 licensed beds by FY2030 (~20% of 2,426-bed organic pipeline). Includes Sahyadri Nashik brownfield +103 beds noted in Q1FY27. Complements ~1,943 greenfield beds.</t>
  </si>
  <si>
    <t>FY2026 Annual Report (via Business Standard 5 Sep 2026) | BSE Q1FY27 presentation | Emkay expansion pipeline</t>
  </si>
  <si>
    <t>Manipal Health Enterprises — Registered &amp; Corporate Office (The Annexe)</t>
  </si>
  <si>
    <t>Corporate</t>
  </si>
  <si>
    <t>Office</t>
  </si>
  <si>
    <t>Corporate Headquarters / Registered Office</t>
  </si>
  <si>
    <t>Manipal Health Enterprises Limited</t>
  </si>
  <si>
    <t>Registered and corporate office: The Annexe, #98/2, Rustom Bagh, Off HAL Airport Road, Bengaluru 560017. Material HQ disclosure.</t>
  </si>
  <si>
    <t>SEBI Abridged Prospectus Jul 2026 | https://www.manipalhospitals.com/hospitals/ footer</t>
  </si>
  <si>
    <t>Manipal Clinic Brookefield</t>
  </si>
  <si>
    <t>Outpatient Clinics</t>
  </si>
  <si>
    <t>Other</t>
  </si>
  <si>
    <t>Outpatient Clinic / Day-care Hub</t>
  </si>
  <si>
    <t>Named outpatient clinic on company hospitals/clinics locator. Not counted in the 49-hospital / 13,037 licensed-bed Mar-2026 hospital register. Excluded from bed KPIs; retained as disclosed physical care site.</t>
  </si>
  <si>
    <t>https://www.manipalhospitals.com/hospitals/</t>
  </si>
  <si>
    <t>Manipal Clinic Jayanagar</t>
  </si>
  <si>
    <t>Manipal Clinic Begur</t>
  </si>
  <si>
    <t>Manipal Clinic Budigere</t>
  </si>
  <si>
    <t>Manipal Clinic Indiranagar</t>
  </si>
  <si>
    <t>Manipal Clinic Sarjapur</t>
  </si>
  <si>
    <t>Manipal Indira Clinic</t>
  </si>
  <si>
    <t>Manipal Clinic Cuttack</t>
  </si>
  <si>
    <t>Cuttack</t>
  </si>
  <si>
    <t>Manipal Clinic Dhanori</t>
  </si>
  <si>
    <t>MANIPAL HEALTH ENTERPRISES LIMITED — Source Documents &amp; Web Pages</t>
  </si>
  <si>
    <t>Every filing and website page consulted during research</t>
  </si>
  <si>
    <t>Document Title</t>
  </si>
  <si>
    <t>Document Type</t>
  </si>
  <si>
    <t>Publisher</t>
  </si>
  <si>
    <t>Publication Date</t>
  </si>
  <si>
    <t>Fiscal Period Covered</t>
  </si>
  <si>
    <t>Key Sections for Physical Assets</t>
  </si>
  <si>
    <t>Access URL</t>
  </si>
  <si>
    <t>Access Status</t>
  </si>
  <si>
    <t>Manipal Health Enterprises Limited — Abridged Prospectus (RHP summary)</t>
  </si>
  <si>
    <t>Annual Report</t>
  </si>
  <si>
    <t>Manipal Health Enterprises Limited / SEBI</t>
  </si>
  <si>
    <t>2026-07-23</t>
  </si>
  <si>
    <t>FY2024–FY2026</t>
  </si>
  <si>
    <t>Business overview; Key Facilities; Restated Consolidated summary; KPIs (hospitals, licensed/operational beds); Objects of Offer</t>
  </si>
  <si>
    <t>https://www.sebi.gov.in/sebi_data/commondocs/jul-2026/Manipal%20Health%20Enterprises%20Ltd%20-%20Abri_p.pdf</t>
  </si>
  <si>
    <t>Full Access</t>
  </si>
  <si>
    <t>Primary Track A filing extract for KPIs and key facilities</t>
  </si>
  <si>
    <t>Manipal Health Enterprises Limited — Draft Abridged Prospectus (DRHP)</t>
  </si>
  <si>
    <t>2026-04</t>
  </si>
  <si>
    <t>Through Sep 2025 pro forma</t>
  </si>
  <si>
    <t>Key Facilities (earlier bed counts); business description</t>
  </si>
  <si>
    <t>https://www.sebi.gov.in/sebi_data/commondocs/apr-2026/Manipal%20Health%20Enterprises%20Limited-Abridged%20Prospectus_p.pdf</t>
  </si>
  <si>
    <t>Earlier cut-off (Sep 2025 / pro forma 48 hospitals)</t>
  </si>
  <si>
    <t>Manipal Health Enterprises — Management Discussion (RHP extract)</t>
  </si>
  <si>
    <t>MD&amp;A</t>
  </si>
  <si>
    <t>Manipal Health Enterprises Limited (via India Infoline reprint)</t>
  </si>
  <si>
    <t>2026-07</t>
  </si>
  <si>
    <t>FY2026</t>
  </si>
  <si>
    <t>Our Hospitals and Facilities (ref. p.238); operating metrics; D&amp;A and PPE movement; Sahyadri/Medica acquisition discussion; cash flows</t>
  </si>
  <si>
    <t>https://www.indiainfoline.com/company/manipal-health-enterprises-ltd/management-discussions</t>
  </si>
  <si>
    <t>MD&amp;A text aligned to RHP; hospital table referenced at p.238</t>
  </si>
  <si>
    <t>Emkay Research — Manipal Health Enterprises IPO Note</t>
  </si>
  <si>
    <t>Investor Presentation</t>
  </si>
  <si>
    <t>Emkay Global Financial Services</t>
  </si>
  <si>
    <t>2026-07-28</t>
  </si>
  <si>
    <t>Exhibit 2 hospital-unit licensed beds; acquisition history; expansion pipeline; Exhibit 40 balance sheet (PPE, ROUA, CWIP, goodwill)</t>
  </si>
  <si>
    <t>https://investmentguruindia.com/editorial/uploads/news-pdf/7ba25b59_Manipal%20IPO%20Note_280726_Others.pdf</t>
  </si>
  <si>
    <t>Hospital-wise bed register sourced to Company/RHP; used for asset-level capacities</t>
  </si>
  <si>
    <t>BSE — Manipal Health Enterprises corporate / earnings presentation</t>
  </si>
  <si>
    <t>2026-08</t>
  </si>
  <si>
    <t>Q1 FY2027 / Jun 2026</t>
  </si>
  <si>
    <t>Network snapshot (beds by region, Owned vs O&amp;M); Sahyadri integration (Wakad construction, Nashik brownfield/LINAC)</t>
  </si>
  <si>
    <t>https://www.bseindia.com/xml-data/corpfiling/AttachHis/e8a9f736-91cc-42eb-94de-e342529515ae.pdf</t>
  </si>
  <si>
    <t>Also reviewed related BSE AttachHis filings for network maps</t>
  </si>
  <si>
    <t>BSE — Additional Manipal corporate presentation (network map)</t>
  </si>
  <si>
    <t>2026-06-30</t>
  </si>
  <si>
    <t>Q1 FY2027 YTD</t>
  </si>
  <si>
    <t>Pan-India network; metro leadership; Owned 9,355 / O&amp;M 3,785 beds</t>
  </si>
  <si>
    <t>https://www.bseindia.com/xml-data/corpfiling/AttachHis/45674301-f507-4057-8016-d4c60e08b7c9.pdf</t>
  </si>
  <si>
    <t>Network geography confirmation</t>
  </si>
  <si>
    <t>Manipal Hospitals — Homepage</t>
  </si>
  <si>
    <t>Company Website — About</t>
  </si>
  <si>
    <t>Current</t>
  </si>
  <si>
    <t>Network scale narrative (~12,600+ beds / 49–50 hospitals); emergency location list</t>
  </si>
  <si>
    <t>https://www.manipalhospitals.com</t>
  </si>
  <si>
    <t>Track B start page</t>
  </si>
  <si>
    <t>Manipal Hospitals — Hospitals / Locations Locator</t>
  </si>
  <si>
    <t>Company Website — Asset Locator</t>
  </si>
  <si>
    <t>Named hospitals and clinics by city; Electronics City listing</t>
  </si>
  <si>
    <t>Primary Track B facility name source; interactive elements limited — text list extracted</t>
  </si>
  <si>
    <t>Manipal Hospitals — About Us</t>
  </si>
  <si>
    <t>Group history; entity list; bed/hospital counts</t>
  </si>
  <si>
    <t>https://www.manipalhospitals.com/about-us/</t>
  </si>
  <si>
    <t>Manipal Hospitals — Bangalore overview / Old Airport Road</t>
  </si>
  <si>
    <t>Company Website — Operations</t>
  </si>
  <si>
    <t>Flagship history (1991); Bengaluru location list</t>
  </si>
  <si>
    <t>https://www.manipalhospitals.com/bangalore/hospital/manipal-hospital-old-airport-road/</t>
  </si>
  <si>
    <t>Manipal Hospital Electronics City — About</t>
  </si>
  <si>
    <t>300-bed tertiary campus; equipment list; address Electronic City Phase 3</t>
  </si>
  <si>
    <t>https://www.manipalhospitals.com/electronicscity/about-us/</t>
  </si>
  <si>
    <t>Post-FY26 commissioned hospital</t>
  </si>
  <si>
    <t>Manipal Hospitals — Vijayawada About</t>
  </si>
  <si>
    <t>Coastal Andhra tertiary description</t>
  </si>
  <si>
    <t>https://www.manipalhospitals.com/vijayawada/about-us/</t>
  </si>
  <si>
    <t>Marketing bed figures on page conflict with licensed-bed register — RHP/Emkay capacities preferred</t>
  </si>
  <si>
    <t>Manipal Hospitals — IPO Disclosures</t>
  </si>
  <si>
    <t>Company Website — Other</t>
  </si>
  <si>
    <t>IPO 2026</t>
  </si>
  <si>
    <t>RHP/DRHP links; material contracts; financial statement document index</t>
  </si>
  <si>
    <t>https://www.manipalhospitals.com/ipo-disclosures/</t>
  </si>
  <si>
    <t>Partial Access</t>
  </si>
  <si>
    <t>Document index visible; some PDFs behind confirm-location gate</t>
  </si>
  <si>
    <t>Manipal Hospitals — Financial Reports</t>
  </si>
  <si>
    <t>Annual reports / material subsidiary FS links (MH(E)IPL, SHPL)</t>
  </si>
  <si>
    <t>https://www.manipalhospitals.com/financial-reports/</t>
  </si>
  <si>
    <t>Landing page; subsidiary FS filenames listed</t>
  </si>
  <si>
    <t>Manipal Hospitals — MHEL Financial Reports alias</t>
  </si>
  <si>
    <t>Investor financial reports portal</t>
  </si>
  <si>
    <t>https://www.manipalhospitals.com/mhel-financial-reports/</t>
  </si>
  <si>
    <t>Thin landing content in fetch</t>
  </si>
  <si>
    <t>Sahyadri Hospitals — Group website</t>
  </si>
  <si>
    <t>Company Website — Subsidiary</t>
  </si>
  <si>
    <t>Pune/Nashik/Karad/Ahilyanagar hospital brands; Deccan &amp; Hadapsar capacity narratives</t>
  </si>
  <si>
    <t>https://sahyadrihospital.com/</t>
  </si>
  <si>
    <t>Subsidiary domain post-acquisition; JS-heavy — facility subpages also used</t>
  </si>
  <si>
    <t>Sahyadri Super Speciality Hospital Deccan</t>
  </si>
  <si>
    <t>225-bed Deccan Gymkhana description</t>
  </si>
  <si>
    <t>https://sahyadrihospital.com/deccan/</t>
  </si>
  <si>
    <t>Capacity consistent with Emkay register</t>
  </si>
  <si>
    <t>Hadapsar campus capabilities; bed narrative</t>
  </si>
  <si>
    <t>https://sahyadrihospital.com/hadapsar/</t>
  </si>
  <si>
    <t>Site cites ~201 beds; Emkay/RHP licensed beds 301 used as primary</t>
  </si>
  <si>
    <t>CARE Ratings — Sahyadri Hospitals Private Limited</t>
  </si>
  <si>
    <t>Regulatory Filing</t>
  </si>
  <si>
    <t>CARE Ratings</t>
  </si>
  <si>
    <t>2026-06</t>
  </si>
  <si>
    <t>Post-acquisition 2025–26</t>
  </si>
  <si>
    <t>89.98% stake by MHPL; further 9.74% planned; parent linkage</t>
  </si>
  <si>
    <t>https://www.careratings.com/upload/CompanyFiles/PR/202606120611_Sahyadri_Hospitals_Private_Limited.pdf</t>
  </si>
  <si>
    <t>Ownership percentage for Sahyadri assets</t>
  </si>
  <si>
    <t>India Ratings — MHEPL Group list of subsidiaries</t>
  </si>
  <si>
    <t>India Ratings &amp; Research</t>
  </si>
  <si>
    <t>2025</t>
  </si>
  <si>
    <t>FY2025</t>
  </si>
  <si>
    <t>Subsidiary ownership % (MHPL, MHDPL, East/AMRI, Synergie/Medica, Healthmap); HCMCT silo note</t>
  </si>
  <si>
    <t>https://www.indiaratings.co.in/data/Uploads/Others/Subs/list_of_subsidiaries_mhepl_group.pdf</t>
  </si>
  <si>
    <t>Filename may vary on host; content used for ownership mapping</t>
  </si>
  <si>
    <t>Ontario Teachers’ — Sale of Sahyadri Hospitals</t>
  </si>
  <si>
    <t>Press Release</t>
  </si>
  <si>
    <t>Ontario Teachers' Pension Plan</t>
  </si>
  <si>
    <t>2025-07-09</t>
  </si>
  <si>
    <t>FY2026 transaction</t>
  </si>
  <si>
    <t>11 hospitals; &gt;1,400 beds; Pune, Nashik, Ahilyanagar, Karad</t>
  </si>
  <si>
    <t>https://www.otpp.com/en-ca/about-us/news-and-insights/2025/ontario-teachers-announces-sale-of-sahyadri-hospitals/</t>
  </si>
  <si>
    <t>Acquisition perimeter confirmation</t>
  </si>
  <si>
    <t>Business Standard — Manipal greenfield expansion FY26 AR</t>
  </si>
  <si>
    <t>Business Standard</t>
  </si>
  <si>
    <t>2026-09-05</t>
  </si>
  <si>
    <t>FY2026 / to FY2030</t>
  </si>
  <si>
    <t>2,426-bed pipeline (1,943 GF / 483 BF); regional focus; occupancy/ops beds</t>
  </si>
  <si>
    <t>https://www.business-standard.com/companies/news/manipal-hospitals-greenfield-expansion-2426-beds-sahyadri-fy26-126090500339_1.html</t>
  </si>
  <si>
    <t>Annual report pipeline figures</t>
  </si>
  <si>
    <t>Business Standard — Acquisitions &amp; Juhu land</t>
  </si>
  <si>
    <t>2026-09-13</t>
  </si>
  <si>
    <t>Juhu land/building ₹495 crore; acquisition scouting markets</t>
  </si>
  <si>
    <t>https://www.business-standard.com/companies/news/manipal-hospitals-scouts-for-acquisitions-in-andhra-keralam-delhi-ncr-126091300110_1.html</t>
  </si>
  <si>
    <t>Juhu project cost disclosure</t>
  </si>
  <si>
    <t>ET Healthworld — IPO briefing bed pipeline</t>
  </si>
  <si>
    <t>ETHealthworld / Economic Times</t>
  </si>
  <si>
    <t>FY2026–FY2030</t>
  </si>
  <si>
    <t>Juhu 603 beds; Raipur 360 beds; brownfield markets</t>
  </si>
  <si>
    <t>https://health.economictimes.indiatimes.com/news/hospitals/manipal-to-float-9200-cr-ipo-next-week-price-band-set-at-560-to-590/132603406</t>
  </si>
  <si>
    <t>Named greenfield capacities</t>
  </si>
  <si>
    <t>Moneycontrol — Listing details MANIPALHOS / 544847</t>
  </si>
  <si>
    <t>Moneycontrol</t>
  </si>
  <si>
    <t>NSE: MANIPALHOS; BSE: 544847; ISIN; FYE March</t>
  </si>
  <si>
    <t>https://www.moneycontrol.com/company-facts/manipalhealthenterprises/listing/MHEL</t>
  </si>
  <si>
    <t>Ticker confirmation</t>
  </si>
  <si>
    <t>Finowings — Manipal Health Enterprises IPO financial snapshot</t>
  </si>
  <si>
    <t>Finowings</t>
  </si>
  <si>
    <t>Total assets; net worth; region bed split; borrowings</t>
  </si>
  <si>
    <t>https://www.finowings.com/IPO/manipal-health-enterprises-ipo</t>
  </si>
  <si>
    <t>Secondary compilation of RHP numbers</t>
  </si>
  <si>
    <t>Wikipedia — Manipal Hospitals</t>
  </si>
  <si>
    <t>Wikipedia</t>
  </si>
  <si>
    <t>Listing tickers; high-level network stats; IPO listing 5 Aug 2026</t>
  </si>
  <si>
    <t>https://en.wikipedia.org/wiki/Manipal_Hospitals</t>
  </si>
  <si>
    <t>Used only for ticker/listing cross-check; primary data from filings/website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</si>
</sst>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name val="Arial"/>
    </font>
    <font>
      <b/>
      <sz val="11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95959"/>
      <name val="Arial"/>
    </font>
    <font>
      <i/>
      <sz val="8"/>
      <color rgb="FF808080"/>
      <name val="Arial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563C1"/>
      <name val="Arial"/>
    </font>
  </fonts>
  <fills count="10">
    <fill>
      <patternFill patternType="none"/>
    </fill>
    <fill>
      <patternFill patternType="gray125"/>
    </fill>
    <fill>
      <patternFill patternType="solid">
        <fgColor rgb="FFE85A2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006100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7" fillId="0" borderId="1" xfId="0" applyNumberFormat="1" applyFont="1" applyBorder="1"/>
    <xf numFmtId="3" fontId="0" fillId="0" borderId="1" xfId="0" applyNumberFormat="1" applyBorder="1"/>
    <xf numFmtId="164" fontId="0" fillId="0" borderId="1" xfId="0" applyNumberFormat="1" applyBorder="1"/>
    <xf numFmtId="0" fontId="8" fillId="0" borderId="1" xfId="0" applyFont="1" applyBorder="1"/>
    <xf numFmtId="0" fontId="5" fillId="3" borderId="1" xfId="0" applyFont="1" applyFill="1" applyBorder="1"/>
    <xf numFmtId="3" fontId="7" fillId="3" borderId="1" xfId="0" applyNumberFormat="1" applyFont="1" applyFill="1" applyBorder="1"/>
    <xf numFmtId="3" fontId="0" fillId="3" borderId="1" xfId="0" applyNumberFormat="1" applyFill="1" applyBorder="1"/>
    <xf numFmtId="164" fontId="0" fillId="3" borderId="1" xfId="0" applyNumberFormat="1" applyFill="1" applyBorder="1"/>
    <xf numFmtId="0" fontId="8" fillId="3" borderId="1" xfId="0" applyFont="1" applyFill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9" fontId="5" fillId="0" borderId="1" xfId="0" applyNumberFormat="1" applyFont="1" applyBorder="1" applyAlignment="1">
      <alignment vertical="top"/>
    </xf>
    <xf numFmtId="0" fontId="6" fillId="5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/>
    </xf>
    <xf numFmtId="9" fontId="5" fillId="3" borderId="1" xfId="0" applyNumberFormat="1" applyFont="1" applyFill="1" applyBorder="1" applyAlignment="1">
      <alignment vertical="top"/>
    </xf>
    <xf numFmtId="0" fontId="10" fillId="6" borderId="1" xfId="0" applyFont="1" applyFill="1" applyBorder="1" applyAlignment="1">
      <alignment vertical="top"/>
    </xf>
    <xf numFmtId="0" fontId="11" fillId="7" borderId="1" xfId="0" applyFont="1" applyFill="1" applyBorder="1" applyAlignment="1">
      <alignment vertical="top"/>
    </xf>
    <xf numFmtId="0" fontId="5" fillId="8" borderId="1" xfId="0" applyFont="1" applyFill="1" applyBorder="1" applyAlignment="1">
      <alignment vertical="top"/>
    </xf>
    <xf numFmtId="0" fontId="5" fillId="9" borderId="1" xfId="0" applyFont="1" applyFill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3" borderId="0" xfId="0" applyFont="1" applyFill="1" applyAlignment="1"/>
    <xf numFmtId="0" fontId="3" fillId="0" borderId="0" xfId="0" applyFont="1" applyAlignment="1"/>
    <xf numFmtId="0" fontId="9" fillId="0" borderId="0" xfId="0" applyFont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nipalhospitals.com/hospitals/" TargetMode="External"/><Relationship Id="rId13" Type="http://schemas.openxmlformats.org/officeDocument/2006/relationships/hyperlink" Target="https://www.manipalhospitals.com/ipo-disclosures/" TargetMode="External"/><Relationship Id="rId18" Type="http://schemas.openxmlformats.org/officeDocument/2006/relationships/hyperlink" Target="https://sahyadrihospital.com/hadapsar/" TargetMode="External"/><Relationship Id="rId26" Type="http://schemas.openxmlformats.org/officeDocument/2006/relationships/hyperlink" Target="https://www.finowings.com/IPO/manipal-health-enterprises-ipo" TargetMode="External"/><Relationship Id="rId3" Type="http://schemas.openxmlformats.org/officeDocument/2006/relationships/hyperlink" Target="https://www.indiainfoline.com/company/manipal-health-enterprises-ltd/management-discussions" TargetMode="External"/><Relationship Id="rId21" Type="http://schemas.openxmlformats.org/officeDocument/2006/relationships/hyperlink" Target="https://www.otpp.com/en-ca/about-us/news-and-insights/2025/ontario-teachers-announces-sale-of-sahyadri-hospitals/" TargetMode="External"/><Relationship Id="rId7" Type="http://schemas.openxmlformats.org/officeDocument/2006/relationships/hyperlink" Target="https://www.manipalhospitals.com" TargetMode="External"/><Relationship Id="rId12" Type="http://schemas.openxmlformats.org/officeDocument/2006/relationships/hyperlink" Target="https://www.manipalhospitals.com/vijayawada/about-us/" TargetMode="External"/><Relationship Id="rId17" Type="http://schemas.openxmlformats.org/officeDocument/2006/relationships/hyperlink" Target="https://sahyadrihospital.com/deccan/" TargetMode="External"/><Relationship Id="rId25" Type="http://schemas.openxmlformats.org/officeDocument/2006/relationships/hyperlink" Target="https://www.moneycontrol.com/company-facts/manipalhealthenterprises/listing/MHEL" TargetMode="External"/><Relationship Id="rId2" Type="http://schemas.openxmlformats.org/officeDocument/2006/relationships/hyperlink" Target="https://www.sebi.gov.in/sebi_data/commondocs/apr-2026/Manipal%20Health%20Enterprises%20Limited-Abridged%20Prospectus_p.pdf" TargetMode="External"/><Relationship Id="rId16" Type="http://schemas.openxmlformats.org/officeDocument/2006/relationships/hyperlink" Target="https://sahyadrihospital.com/" TargetMode="External"/><Relationship Id="rId20" Type="http://schemas.openxmlformats.org/officeDocument/2006/relationships/hyperlink" Target="https://www.indiaratings.co.in/data/Uploads/Others/Subs/list_of_subsidiaries_mhepl_group.pdf" TargetMode="External"/><Relationship Id="rId1" Type="http://schemas.openxmlformats.org/officeDocument/2006/relationships/hyperlink" Target="https://www.sebi.gov.in/sebi_data/commondocs/jul-2026/Manipal%20Health%20Enterprises%20Ltd%20-%20Abri_p.pdf" TargetMode="External"/><Relationship Id="rId6" Type="http://schemas.openxmlformats.org/officeDocument/2006/relationships/hyperlink" Target="https://www.bseindia.com/xml-data/corpfiling/AttachHis/45674301-f507-4057-8016-d4c60e08b7c9.pdf" TargetMode="External"/><Relationship Id="rId11" Type="http://schemas.openxmlformats.org/officeDocument/2006/relationships/hyperlink" Target="https://www.manipalhospitals.com/electronicscity/about-us/" TargetMode="External"/><Relationship Id="rId24" Type="http://schemas.openxmlformats.org/officeDocument/2006/relationships/hyperlink" Target="https://health.economictimes.indiatimes.com/news/hospitals/manipal-to-float-9200-cr-ipo-next-week-price-band-set-at-560-to-590/132603406" TargetMode="External"/><Relationship Id="rId5" Type="http://schemas.openxmlformats.org/officeDocument/2006/relationships/hyperlink" Target="https://www.bseindia.com/xml-data/corpfiling/AttachHis/e8a9f736-91cc-42eb-94de-e342529515ae.pdf" TargetMode="External"/><Relationship Id="rId15" Type="http://schemas.openxmlformats.org/officeDocument/2006/relationships/hyperlink" Target="https://www.manipalhospitals.com/mhel-financial-reports/" TargetMode="External"/><Relationship Id="rId23" Type="http://schemas.openxmlformats.org/officeDocument/2006/relationships/hyperlink" Target="https://www.business-standard.com/companies/news/manipal-hospitals-scouts-for-acquisitions-in-andhra-keralam-delhi-ncr-126091300110_1.html" TargetMode="External"/><Relationship Id="rId10" Type="http://schemas.openxmlformats.org/officeDocument/2006/relationships/hyperlink" Target="https://www.manipalhospitals.com/bangalore/hospital/manipal-hospital-old-airport-road/" TargetMode="External"/><Relationship Id="rId19" Type="http://schemas.openxmlformats.org/officeDocument/2006/relationships/hyperlink" Target="https://www.careratings.com/upload/CompanyFiles/PR/202606120611_Sahyadri_Hospitals_Private_Limited.pdf" TargetMode="External"/><Relationship Id="rId4" Type="http://schemas.openxmlformats.org/officeDocument/2006/relationships/hyperlink" Target="https://investmentguruindia.com/editorial/uploads/news-pdf/7ba25b59_Manipal%20IPO%20Note_280726_Others.pdf" TargetMode="External"/><Relationship Id="rId9" Type="http://schemas.openxmlformats.org/officeDocument/2006/relationships/hyperlink" Target="https://www.manipalhospitals.com/about-us/" TargetMode="External"/><Relationship Id="rId14" Type="http://schemas.openxmlformats.org/officeDocument/2006/relationships/hyperlink" Target="https://www.manipalhospitals.com/financial-reports/" TargetMode="External"/><Relationship Id="rId22" Type="http://schemas.openxmlformats.org/officeDocument/2006/relationships/hyperlink" Target="https://www.business-standard.com/companies/news/manipal-hospitals-greenfield-expansion-2426-beds-sahyadri-fy26-126090500339_1.html" TargetMode="External"/><Relationship Id="rId27" Type="http://schemas.openxmlformats.org/officeDocument/2006/relationships/hyperlink" Target="https://en.wikipedia.org/wiki/Manipal_Hospi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/>
  </sheetViews>
  <sheetFormatPr defaultRowHeight="15"/>
  <cols>
    <col min="1" max="1" width="30" customWidth="1"/>
    <col min="2" max="2" width="40" customWidth="1"/>
    <col min="3" max="3" width="22" customWidth="1"/>
    <col min="4" max="4" width="16" customWidth="1"/>
    <col min="5" max="5" width="14" customWidth="1"/>
    <col min="6" max="6" width="40" customWidth="1"/>
  </cols>
  <sheetData>
    <row r="1" spans="1:6">
      <c r="A1" s="31" t="s">
        <v>0</v>
      </c>
      <c r="B1" s="32"/>
      <c r="C1" s="32"/>
      <c r="D1" s="32"/>
      <c r="E1" s="32"/>
      <c r="F1" s="32"/>
    </row>
    <row r="2" spans="1:6">
      <c r="A2" s="33" t="s">
        <v>1</v>
      </c>
      <c r="B2" s="32"/>
      <c r="C2" s="32"/>
      <c r="D2" s="32"/>
      <c r="E2" s="32"/>
      <c r="F2" s="32"/>
    </row>
    <row r="4" spans="1:6">
      <c r="A4" s="34" t="s">
        <v>2</v>
      </c>
      <c r="B4" s="32"/>
    </row>
    <row r="5" spans="1:6">
      <c r="A5" s="1" t="s">
        <v>3</v>
      </c>
      <c r="B5" s="2" t="s">
        <v>4</v>
      </c>
    </row>
    <row r="6" spans="1:6">
      <c r="A6" s="1" t="s">
        <v>5</v>
      </c>
      <c r="B6" s="2" t="s">
        <v>6</v>
      </c>
    </row>
    <row r="7" spans="1:6">
      <c r="A7" s="1" t="s">
        <v>7</v>
      </c>
      <c r="B7" s="2" t="s">
        <v>8</v>
      </c>
    </row>
    <row r="8" spans="1:6">
      <c r="A8" s="1" t="s">
        <v>9</v>
      </c>
      <c r="B8" s="2" t="s">
        <v>10</v>
      </c>
    </row>
    <row r="9" spans="1:6">
      <c r="A9" s="1" t="s">
        <v>11</v>
      </c>
      <c r="B9" s="2" t="s">
        <v>12</v>
      </c>
    </row>
    <row r="10" spans="1:6">
      <c r="A10" s="1" t="s">
        <v>13</v>
      </c>
      <c r="B10" s="2" t="s">
        <v>14</v>
      </c>
    </row>
    <row r="11" spans="1:6">
      <c r="A11" s="1" t="s">
        <v>15</v>
      </c>
      <c r="B11" s="2" t="s">
        <v>16</v>
      </c>
    </row>
    <row r="12" spans="1:6">
      <c r="A12" s="1" t="s">
        <v>17</v>
      </c>
      <c r="B12" s="2" t="s">
        <v>18</v>
      </c>
    </row>
    <row r="13" spans="1:6">
      <c r="A13" s="1" t="s">
        <v>19</v>
      </c>
      <c r="B13" s="2" t="s">
        <v>20</v>
      </c>
    </row>
    <row r="14" spans="1:6">
      <c r="A14" s="1" t="s">
        <v>21</v>
      </c>
      <c r="B14" s="2" t="s">
        <v>22</v>
      </c>
    </row>
    <row r="15" spans="1:6">
      <c r="A15" s="1" t="s">
        <v>23</v>
      </c>
      <c r="B15" s="2" t="s">
        <v>24</v>
      </c>
    </row>
    <row r="16" spans="1:6">
      <c r="A16" s="1" t="s">
        <v>25</v>
      </c>
      <c r="B16" s="2" t="s">
        <v>26</v>
      </c>
    </row>
    <row r="17" spans="1:6">
      <c r="A17" s="1" t="s">
        <v>27</v>
      </c>
      <c r="B17" s="2" t="s">
        <v>28</v>
      </c>
    </row>
    <row r="18" spans="1:6">
      <c r="A18" s="1" t="s">
        <v>29</v>
      </c>
      <c r="B18" s="2" t="s">
        <v>30</v>
      </c>
    </row>
    <row r="19" spans="1:6">
      <c r="A19" s="1" t="s">
        <v>31</v>
      </c>
      <c r="B19" s="2" t="s">
        <v>32</v>
      </c>
    </row>
    <row r="21" spans="1:6">
      <c r="A21" s="34" t="s">
        <v>33</v>
      </c>
      <c r="B21" s="32"/>
      <c r="C21" s="32"/>
      <c r="D21" s="32"/>
      <c r="E21" s="32"/>
    </row>
    <row r="22" spans="1:6">
      <c r="A22" s="3" t="s">
        <v>34</v>
      </c>
      <c r="B22" s="3" t="s">
        <v>35</v>
      </c>
      <c r="C22" s="3" t="s">
        <v>36</v>
      </c>
      <c r="D22" s="3" t="s">
        <v>37</v>
      </c>
      <c r="E22" s="3" t="s">
        <v>38</v>
      </c>
      <c r="F22" s="3" t="s">
        <v>39</v>
      </c>
    </row>
    <row r="23" spans="1:6">
      <c r="A23" s="4" t="s">
        <v>40</v>
      </c>
      <c r="B23" s="5">
        <v>248646</v>
      </c>
      <c r="C23" s="5">
        <v>140721</v>
      </c>
      <c r="D23" s="6">
        <f>B23-C23</f>
        <v>107925</v>
      </c>
      <c r="E23" s="7">
        <f>IF(C23=0,"N/A",(B23-C23)/C23)</f>
        <v>0.76694310017694589</v>
      </c>
      <c r="F23" s="8" t="s">
        <v>41</v>
      </c>
    </row>
    <row r="24" spans="1:6">
      <c r="A24" s="9" t="s">
        <v>42</v>
      </c>
      <c r="B24" s="10">
        <v>160658</v>
      </c>
      <c r="C24" s="10">
        <v>80719</v>
      </c>
      <c r="D24" s="11">
        <f>B24-C24</f>
        <v>79939</v>
      </c>
      <c r="E24" s="12">
        <f>IF(C24=0,"N/A",(B24-C24)/C24)</f>
        <v>0.99033684758235363</v>
      </c>
      <c r="F24" s="13" t="s">
        <v>43</v>
      </c>
    </row>
    <row r="25" spans="1:6">
      <c r="A25" s="4" t="s">
        <v>44</v>
      </c>
      <c r="B25" s="5">
        <v>87988</v>
      </c>
      <c r="C25" s="5">
        <v>60002</v>
      </c>
      <c r="D25" s="6">
        <f>B25-C25</f>
        <v>27986</v>
      </c>
      <c r="E25" s="7">
        <f>IF(C25=0,"N/A",(B25-C25)/C25)</f>
        <v>0.46641778607379752</v>
      </c>
      <c r="F25" s="8" t="s">
        <v>45</v>
      </c>
    </row>
    <row r="26" spans="1:6">
      <c r="A26" s="9" t="s">
        <v>46</v>
      </c>
      <c r="B26" s="10">
        <v>84261</v>
      </c>
      <c r="C26" s="10">
        <v>58473</v>
      </c>
      <c r="D26" s="11">
        <f>B26-C26</f>
        <v>25788</v>
      </c>
      <c r="E26" s="12">
        <f>IF(C26=0,"N/A",(B26-C26)/C26)</f>
        <v>0.4410240623877687</v>
      </c>
      <c r="F26" s="13" t="s">
        <v>47</v>
      </c>
    </row>
    <row r="27" spans="1:6">
      <c r="A27" s="4" t="s">
        <v>48</v>
      </c>
      <c r="B27" s="5">
        <v>94961</v>
      </c>
      <c r="C27" s="5">
        <v>72349</v>
      </c>
      <c r="D27" s="6">
        <f>B27-C27</f>
        <v>22612</v>
      </c>
      <c r="E27" s="7">
        <f>IF(C27=0,"N/A",(B27-C27)/C27)</f>
        <v>0.31254060180513898</v>
      </c>
      <c r="F27" s="8" t="s">
        <v>49</v>
      </c>
    </row>
    <row r="28" spans="1:6">
      <c r="A28" s="9" t="s">
        <v>50</v>
      </c>
      <c r="B28" s="10">
        <v>36553</v>
      </c>
      <c r="C28" s="10">
        <v>30101</v>
      </c>
      <c r="D28" s="11">
        <f>B28-C28</f>
        <v>6452</v>
      </c>
      <c r="E28" s="12">
        <f>IF(C28=0,"N/A",(B28-C28)/C28)</f>
        <v>0.21434503837081825</v>
      </c>
      <c r="F28" s="13" t="s">
        <v>51</v>
      </c>
    </row>
    <row r="29" spans="1:6">
      <c r="A29" s="4" t="s">
        <v>52</v>
      </c>
      <c r="B29" s="5">
        <v>58408</v>
      </c>
      <c r="C29" s="5">
        <v>42247</v>
      </c>
      <c r="D29" s="6">
        <f>B29-C29</f>
        <v>16161</v>
      </c>
      <c r="E29" s="7">
        <f>IF(C29=0,"N/A",(B29-C29)/C29)</f>
        <v>0.3825360380618742</v>
      </c>
      <c r="F29" s="8" t="s">
        <v>53</v>
      </c>
    </row>
    <row r="30" spans="1:6">
      <c r="A30" s="9" t="s">
        <v>54</v>
      </c>
      <c r="B30" s="10">
        <v>23851</v>
      </c>
      <c r="C30" s="10">
        <v>16998</v>
      </c>
      <c r="D30" s="11">
        <f>B30-C30</f>
        <v>6853</v>
      </c>
      <c r="E30" s="12">
        <f>IF(C30=0,"N/A",(B30-C30)/C30)</f>
        <v>0.40316507824449938</v>
      </c>
      <c r="F30" s="13" t="s">
        <v>55</v>
      </c>
    </row>
    <row r="31" spans="1:6">
      <c r="A31" s="4" t="s">
        <v>56</v>
      </c>
      <c r="B31" s="5">
        <v>7953</v>
      </c>
      <c r="C31" s="5">
        <v>6140</v>
      </c>
      <c r="D31" s="6">
        <f>B31-C31</f>
        <v>1813</v>
      </c>
      <c r="E31" s="7">
        <f>IF(C31=0,"N/A",(B31-C31)/C31)</f>
        <v>0.29527687296416938</v>
      </c>
      <c r="F31" s="8" t="s">
        <v>57</v>
      </c>
    </row>
    <row r="32" spans="1:6">
      <c r="A32" s="9" t="s">
        <v>58</v>
      </c>
      <c r="B32" s="10">
        <v>81206</v>
      </c>
      <c r="C32" s="10">
        <v>33990</v>
      </c>
      <c r="D32" s="11">
        <f>B32-C32</f>
        <v>47216</v>
      </c>
      <c r="E32" s="12">
        <f>IF(C32=0,"N/A",(B32-C32)/C32)</f>
        <v>1.389114445425125</v>
      </c>
      <c r="F32" s="13" t="s">
        <v>59</v>
      </c>
    </row>
    <row r="33" spans="1:6">
      <c r="A33" s="4" t="s">
        <v>60</v>
      </c>
      <c r="B33" s="5">
        <v>23.5</v>
      </c>
      <c r="C33" s="5">
        <v>30</v>
      </c>
      <c r="D33" s="6">
        <f>B33-C33</f>
        <v>-6.5</v>
      </c>
      <c r="E33" s="7">
        <f>IF(C33=0,"N/A",(B33-C33)/C33)</f>
        <v>-0.21666666666666667</v>
      </c>
      <c r="F33" s="8" t="s">
        <v>61</v>
      </c>
    </row>
    <row r="34" spans="1:6">
      <c r="A34" s="9" t="s">
        <v>62</v>
      </c>
      <c r="B34" s="10">
        <v>13162</v>
      </c>
      <c r="C34" s="10">
        <v>10543</v>
      </c>
      <c r="D34" s="11">
        <f>B34-C34</f>
        <v>2619</v>
      </c>
      <c r="E34" s="12">
        <f>IF(C34=0,"N/A",(B34-C34)/C34)</f>
        <v>0.24841126813999811</v>
      </c>
      <c r="F34" s="13" t="s">
        <v>63</v>
      </c>
    </row>
    <row r="35" spans="1:6">
      <c r="A35" s="4" t="s">
        <v>64</v>
      </c>
      <c r="B35" s="5">
        <v>59039</v>
      </c>
      <c r="C35" s="5">
        <v>15660</v>
      </c>
      <c r="D35" s="6">
        <f>B35-C35</f>
        <v>43379</v>
      </c>
      <c r="E35" s="7">
        <f>IF(C35=0,"N/A",(B35-C35)/C35)</f>
        <v>2.7700510855683271</v>
      </c>
      <c r="F35" s="8" t="s">
        <v>65</v>
      </c>
    </row>
    <row r="36" spans="1:6">
      <c r="A36" s="9" t="s">
        <v>66</v>
      </c>
      <c r="B36" s="10">
        <v>6795</v>
      </c>
      <c r="C36" s="10">
        <v>5068</v>
      </c>
      <c r="D36" s="11">
        <f>B36-C36</f>
        <v>1727</v>
      </c>
      <c r="E36" s="12">
        <f>IF(C36=0,"N/A",(B36-C36)/C36)</f>
        <v>0.34076558800315704</v>
      </c>
      <c r="F36" s="13" t="s">
        <v>67</v>
      </c>
    </row>
    <row r="37" spans="1:6">
      <c r="A37" s="4" t="s">
        <v>68</v>
      </c>
      <c r="B37" s="5">
        <v>103358</v>
      </c>
      <c r="C37" s="5">
        <v>82423</v>
      </c>
      <c r="D37" s="6">
        <f>B37-C37</f>
        <v>20935</v>
      </c>
      <c r="E37" s="7">
        <f>IF(C37=0,"N/A",(B37-C37)/C37)</f>
        <v>0.253994637419167</v>
      </c>
      <c r="F37" s="8" t="s">
        <v>69</v>
      </c>
    </row>
    <row r="38" spans="1:6">
      <c r="A38" s="9" t="s">
        <v>70</v>
      </c>
      <c r="B38" s="10">
        <v>109356</v>
      </c>
      <c r="C38" s="10">
        <v>92636</v>
      </c>
      <c r="D38" s="11">
        <f>B38-C38</f>
        <v>16720</v>
      </c>
      <c r="E38" s="12">
        <f>IF(C38=0,"N/A",(B38-C38)/C38)</f>
        <v>0.18049138563841272</v>
      </c>
      <c r="F38" s="13" t="s">
        <v>71</v>
      </c>
    </row>
    <row r="39" spans="1:6">
      <c r="A39" s="4" t="s">
        <v>72</v>
      </c>
      <c r="B39" s="5">
        <v>27959</v>
      </c>
      <c r="C39" s="5">
        <v>22471</v>
      </c>
      <c r="D39" s="6">
        <f>B39-C39</f>
        <v>5488</v>
      </c>
      <c r="E39" s="7">
        <f>IF(C39=0,"N/A",(B39-C39)/C39)</f>
        <v>0.24422589114859153</v>
      </c>
      <c r="F39" s="8" t="s">
        <v>73</v>
      </c>
    </row>
    <row r="40" spans="1:6">
      <c r="A40" s="9" t="s">
        <v>74</v>
      </c>
      <c r="B40" s="10">
        <v>26441</v>
      </c>
      <c r="C40" s="10">
        <v>21654</v>
      </c>
      <c r="D40" s="11">
        <f>B40-C40</f>
        <v>4787</v>
      </c>
      <c r="E40" s="12">
        <f>IF(C40=0,"N/A",(B40-C40)/C40)</f>
        <v>0.22106770111757643</v>
      </c>
      <c r="F40" s="13" t="s">
        <v>75</v>
      </c>
    </row>
    <row r="41" spans="1:6">
      <c r="A41" s="4" t="s">
        <v>76</v>
      </c>
      <c r="B41" s="5">
        <v>105534</v>
      </c>
      <c r="C41" s="5">
        <v>47668</v>
      </c>
      <c r="D41" s="6">
        <f>B41-C41</f>
        <v>57866</v>
      </c>
      <c r="E41" s="7">
        <f>IF(C41=0,"N/A",(B41-C41)/C41)</f>
        <v>1.2139380716623311</v>
      </c>
      <c r="F41" s="8" t="s">
        <v>77</v>
      </c>
    </row>
    <row r="42" spans="1:6">
      <c r="A42" s="9" t="s">
        <v>78</v>
      </c>
      <c r="B42" s="10">
        <v>13037</v>
      </c>
      <c r="C42" s="10">
        <v>12100</v>
      </c>
      <c r="D42" s="11">
        <f>B42-C42</f>
        <v>937</v>
      </c>
      <c r="E42" s="12">
        <f>IF(C42=0,"N/A",(B42-C42)/C42)</f>
        <v>7.7438016528925624E-2</v>
      </c>
      <c r="F42" s="13" t="s">
        <v>79</v>
      </c>
    </row>
    <row r="43" spans="1:6">
      <c r="A43" s="4" t="s">
        <v>80</v>
      </c>
      <c r="B43" s="5">
        <v>6227</v>
      </c>
      <c r="C43" s="5">
        <v>5179</v>
      </c>
      <c r="D43" s="6">
        <f>B43-C43</f>
        <v>1048</v>
      </c>
      <c r="E43" s="7">
        <f>IF(C43=0,"N/A",(B43-C43)/C43)</f>
        <v>0.2023556671172041</v>
      </c>
      <c r="F43" s="8" t="s">
        <v>81</v>
      </c>
    </row>
    <row r="45" spans="1:6">
      <c r="A45" s="34" t="s">
        <v>82</v>
      </c>
      <c r="B45" s="32"/>
      <c r="C45" s="32"/>
      <c r="D45" s="32"/>
      <c r="E45" s="32"/>
      <c r="F45" s="32"/>
    </row>
    <row r="46" spans="1:6">
      <c r="A46" s="30" t="s">
        <v>83</v>
      </c>
      <c r="B46" s="32"/>
      <c r="C46" s="32"/>
      <c r="D46" s="32"/>
      <c r="E46" s="32"/>
      <c r="F46" s="32"/>
    </row>
    <row r="47" spans="1:6">
      <c r="A47" s="32"/>
      <c r="B47" s="32"/>
      <c r="C47" s="32"/>
      <c r="D47" s="32"/>
      <c r="E47" s="32"/>
      <c r="F47" s="32"/>
    </row>
    <row r="48" spans="1:6">
      <c r="A48" s="32"/>
      <c r="B48" s="32"/>
      <c r="C48" s="32"/>
      <c r="D48" s="32"/>
      <c r="E48" s="32"/>
      <c r="F48" s="32"/>
    </row>
    <row r="50" spans="1:6">
      <c r="A50" s="35" t="s">
        <v>84</v>
      </c>
      <c r="B50" s="32"/>
      <c r="C50" s="32"/>
      <c r="D50" s="32"/>
      <c r="E50" s="32"/>
      <c r="F50" s="32"/>
    </row>
  </sheetData>
  <mergeCells count="7">
    <mergeCell ref="A50:F50"/>
    <mergeCell ref="A4:B4"/>
    <mergeCell ref="A2:F2"/>
    <mergeCell ref="A21:E21"/>
    <mergeCell ref="A46:F48"/>
    <mergeCell ref="A1:F1"/>
    <mergeCell ref="A45:F45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40" customWidth="1"/>
    <col min="3" max="4" width="18" customWidth="1"/>
    <col min="5" max="5" width="25" customWidth="1"/>
    <col min="6" max="6" width="16" customWidth="1"/>
    <col min="7" max="7" width="20" customWidth="1"/>
    <col min="8" max="9" width="14" customWidth="1"/>
    <col min="10" max="10" width="12" customWidth="1"/>
    <col min="11" max="11" width="16" customWidth="1"/>
    <col min="12" max="12" width="14" customWidth="1"/>
    <col min="13" max="13" width="18" customWidth="1"/>
    <col min="14" max="14" width="12" customWidth="1"/>
    <col min="15" max="15" width="20" customWidth="1"/>
    <col min="16" max="16" width="18" customWidth="1"/>
    <col min="17" max="17" width="12" customWidth="1"/>
    <col min="18" max="18" width="14" customWidth="1"/>
    <col min="19" max="19" width="28" customWidth="1"/>
    <col min="20" max="21" width="45" customWidth="1"/>
    <col min="22" max="22" width="18" customWidth="1"/>
  </cols>
  <sheetData>
    <row r="1" spans="1:22">
      <c r="A1" s="36" t="s">
        <v>85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>
      <c r="A2" s="33" t="s">
        <v>86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4" spans="1:22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  <c r="N4" s="3" t="s">
        <v>100</v>
      </c>
      <c r="O4" s="3" t="s">
        <v>101</v>
      </c>
      <c r="P4" s="3" t="s">
        <v>102</v>
      </c>
      <c r="Q4" s="3" t="s">
        <v>103</v>
      </c>
      <c r="R4" s="3" t="s">
        <v>104</v>
      </c>
      <c r="S4" s="3" t="s">
        <v>105</v>
      </c>
      <c r="T4" s="3" t="s">
        <v>106</v>
      </c>
      <c r="U4" s="3" t="s">
        <v>39</v>
      </c>
      <c r="V4" s="3" t="s">
        <v>107</v>
      </c>
    </row>
    <row r="5" spans="1:22">
      <c r="A5" s="14">
        <v>1</v>
      </c>
      <c r="B5" s="15" t="s">
        <v>108</v>
      </c>
      <c r="C5" s="14" t="s">
        <v>109</v>
      </c>
      <c r="D5" s="14" t="s">
        <v>110</v>
      </c>
      <c r="E5" s="14" t="s">
        <v>111</v>
      </c>
      <c r="F5" s="14" t="s">
        <v>112</v>
      </c>
      <c r="G5" s="14" t="s">
        <v>113</v>
      </c>
      <c r="H5" s="14" t="s">
        <v>10</v>
      </c>
      <c r="I5" s="16">
        <v>700</v>
      </c>
      <c r="J5" s="14" t="s">
        <v>114</v>
      </c>
      <c r="K5" s="17" t="s">
        <v>115</v>
      </c>
      <c r="L5" s="14">
        <v>1991</v>
      </c>
      <c r="M5" s="14" t="s">
        <v>116</v>
      </c>
      <c r="N5" s="18">
        <v>1</v>
      </c>
      <c r="O5" s="14" t="s">
        <v>116</v>
      </c>
      <c r="P5" s="14" t="s">
        <v>116</v>
      </c>
      <c r="Q5" s="14" t="s">
        <v>116</v>
      </c>
      <c r="R5" s="14" t="s">
        <v>116</v>
      </c>
      <c r="S5" s="15" t="s">
        <v>117</v>
      </c>
      <c r="T5" s="15" t="s">
        <v>118</v>
      </c>
      <c r="U5" s="15" t="s">
        <v>119</v>
      </c>
      <c r="V5" s="19" t="s">
        <v>120</v>
      </c>
    </row>
    <row r="6" spans="1:22">
      <c r="A6" s="20">
        <v>2</v>
      </c>
      <c r="B6" s="21" t="s">
        <v>121</v>
      </c>
      <c r="C6" s="20" t="s">
        <v>109</v>
      </c>
      <c r="D6" s="20" t="s">
        <v>110</v>
      </c>
      <c r="E6" s="20" t="s">
        <v>122</v>
      </c>
      <c r="F6" s="20" t="s">
        <v>112</v>
      </c>
      <c r="G6" s="20" t="s">
        <v>113</v>
      </c>
      <c r="H6" s="20" t="s">
        <v>10</v>
      </c>
      <c r="I6" s="22">
        <v>287</v>
      </c>
      <c r="J6" s="20" t="s">
        <v>114</v>
      </c>
      <c r="K6" s="17" t="s">
        <v>115</v>
      </c>
      <c r="L6" s="20" t="s">
        <v>116</v>
      </c>
      <c r="M6" s="20" t="s">
        <v>116</v>
      </c>
      <c r="N6" s="23">
        <v>1</v>
      </c>
      <c r="O6" s="20" t="s">
        <v>116</v>
      </c>
      <c r="P6" s="20" t="s">
        <v>116</v>
      </c>
      <c r="Q6" s="20" t="s">
        <v>116</v>
      </c>
      <c r="R6" s="20" t="s">
        <v>116</v>
      </c>
      <c r="S6" s="21" t="s">
        <v>123</v>
      </c>
      <c r="T6" s="21" t="s">
        <v>124</v>
      </c>
      <c r="U6" s="21" t="s">
        <v>125</v>
      </c>
      <c r="V6" s="24" t="s">
        <v>126</v>
      </c>
    </row>
    <row r="7" spans="1:22">
      <c r="A7" s="14">
        <v>3</v>
      </c>
      <c r="B7" s="15" t="s">
        <v>127</v>
      </c>
      <c r="C7" s="14" t="s">
        <v>109</v>
      </c>
      <c r="D7" s="14" t="s">
        <v>110</v>
      </c>
      <c r="E7" s="14" t="s">
        <v>122</v>
      </c>
      <c r="F7" s="14" t="s">
        <v>112</v>
      </c>
      <c r="G7" s="14" t="s">
        <v>113</v>
      </c>
      <c r="H7" s="14" t="s">
        <v>10</v>
      </c>
      <c r="I7" s="16">
        <v>267</v>
      </c>
      <c r="J7" s="14" t="s">
        <v>114</v>
      </c>
      <c r="K7" s="17" t="s">
        <v>115</v>
      </c>
      <c r="L7" s="14" t="s">
        <v>116</v>
      </c>
      <c r="M7" s="14" t="s">
        <v>116</v>
      </c>
      <c r="N7" s="18">
        <v>1</v>
      </c>
      <c r="O7" s="14" t="s">
        <v>116</v>
      </c>
      <c r="P7" s="14" t="s">
        <v>116</v>
      </c>
      <c r="Q7" s="14" t="s">
        <v>116</v>
      </c>
      <c r="R7" s="14" t="s">
        <v>116</v>
      </c>
      <c r="S7" s="15" t="s">
        <v>123</v>
      </c>
      <c r="T7" s="15" t="s">
        <v>128</v>
      </c>
      <c r="U7" s="15" t="s">
        <v>125</v>
      </c>
      <c r="V7" s="24" t="s">
        <v>126</v>
      </c>
    </row>
    <row r="8" spans="1:22">
      <c r="A8" s="20">
        <v>4</v>
      </c>
      <c r="B8" s="21" t="s">
        <v>129</v>
      </c>
      <c r="C8" s="20" t="s">
        <v>109</v>
      </c>
      <c r="D8" s="20" t="s">
        <v>110</v>
      </c>
      <c r="E8" s="20" t="s">
        <v>122</v>
      </c>
      <c r="F8" s="20" t="s">
        <v>112</v>
      </c>
      <c r="G8" s="20" t="s">
        <v>113</v>
      </c>
      <c r="H8" s="20" t="s">
        <v>10</v>
      </c>
      <c r="I8" s="22">
        <v>264</v>
      </c>
      <c r="J8" s="20" t="s">
        <v>114</v>
      </c>
      <c r="K8" s="17" t="s">
        <v>115</v>
      </c>
      <c r="L8" s="20" t="s">
        <v>116</v>
      </c>
      <c r="M8" s="20" t="s">
        <v>116</v>
      </c>
      <c r="N8" s="23">
        <v>1</v>
      </c>
      <c r="O8" s="20" t="s">
        <v>116</v>
      </c>
      <c r="P8" s="20" t="s">
        <v>116</v>
      </c>
      <c r="Q8" s="20" t="s">
        <v>116</v>
      </c>
      <c r="R8" s="20" t="s">
        <v>116</v>
      </c>
      <c r="S8" s="21" t="s">
        <v>123</v>
      </c>
      <c r="T8" s="21" t="s">
        <v>130</v>
      </c>
      <c r="U8" s="21" t="s">
        <v>131</v>
      </c>
      <c r="V8" s="24" t="s">
        <v>126</v>
      </c>
    </row>
    <row r="9" spans="1:22">
      <c r="A9" s="14">
        <v>5</v>
      </c>
      <c r="B9" s="15" t="s">
        <v>132</v>
      </c>
      <c r="C9" s="14" t="s">
        <v>109</v>
      </c>
      <c r="D9" s="14" t="s">
        <v>110</v>
      </c>
      <c r="E9" s="14" t="s">
        <v>133</v>
      </c>
      <c r="F9" s="14" t="s">
        <v>112</v>
      </c>
      <c r="G9" s="14" t="s">
        <v>113</v>
      </c>
      <c r="H9" s="14" t="s">
        <v>10</v>
      </c>
      <c r="I9" s="16">
        <v>220</v>
      </c>
      <c r="J9" s="14" t="s">
        <v>114</v>
      </c>
      <c r="K9" s="17" t="s">
        <v>115</v>
      </c>
      <c r="L9" s="14" t="s">
        <v>116</v>
      </c>
      <c r="M9" s="14" t="s">
        <v>116</v>
      </c>
      <c r="N9" s="18">
        <v>1</v>
      </c>
      <c r="O9" s="14" t="s">
        <v>116</v>
      </c>
      <c r="P9" s="14" t="s">
        <v>116</v>
      </c>
      <c r="Q9" s="14" t="s">
        <v>116</v>
      </c>
      <c r="R9" s="14" t="s">
        <v>116</v>
      </c>
      <c r="S9" s="15" t="s">
        <v>123</v>
      </c>
      <c r="T9" s="15" t="s">
        <v>134</v>
      </c>
      <c r="U9" s="15" t="s">
        <v>135</v>
      </c>
      <c r="V9" s="24" t="s">
        <v>126</v>
      </c>
    </row>
    <row r="10" spans="1:22">
      <c r="A10" s="20">
        <v>6</v>
      </c>
      <c r="B10" s="21" t="s">
        <v>136</v>
      </c>
      <c r="C10" s="20" t="s">
        <v>109</v>
      </c>
      <c r="D10" s="20" t="s">
        <v>110</v>
      </c>
      <c r="E10" s="20" t="s">
        <v>122</v>
      </c>
      <c r="F10" s="20" t="s">
        <v>112</v>
      </c>
      <c r="G10" s="20" t="s">
        <v>113</v>
      </c>
      <c r="H10" s="20" t="s">
        <v>10</v>
      </c>
      <c r="I10" s="22">
        <v>214</v>
      </c>
      <c r="J10" s="20" t="s">
        <v>114</v>
      </c>
      <c r="K10" s="17" t="s">
        <v>115</v>
      </c>
      <c r="L10" s="20" t="s">
        <v>116</v>
      </c>
      <c r="M10" s="20" t="s">
        <v>116</v>
      </c>
      <c r="N10" s="23">
        <v>1</v>
      </c>
      <c r="O10" s="20" t="s">
        <v>116</v>
      </c>
      <c r="P10" s="20" t="s">
        <v>116</v>
      </c>
      <c r="Q10" s="20" t="s">
        <v>116</v>
      </c>
      <c r="R10" s="20" t="s">
        <v>116</v>
      </c>
      <c r="S10" s="21" t="s">
        <v>123</v>
      </c>
      <c r="T10" s="21" t="s">
        <v>137</v>
      </c>
      <c r="U10" s="21" t="s">
        <v>125</v>
      </c>
      <c r="V10" s="24" t="s">
        <v>126</v>
      </c>
    </row>
    <row r="11" spans="1:22">
      <c r="A11" s="14">
        <v>7</v>
      </c>
      <c r="B11" s="15" t="s">
        <v>138</v>
      </c>
      <c r="C11" s="14" t="s">
        <v>109</v>
      </c>
      <c r="D11" s="14" t="s">
        <v>110</v>
      </c>
      <c r="E11" s="14" t="s">
        <v>122</v>
      </c>
      <c r="F11" s="14" t="s">
        <v>112</v>
      </c>
      <c r="G11" s="14" t="s">
        <v>113</v>
      </c>
      <c r="H11" s="14" t="s">
        <v>10</v>
      </c>
      <c r="I11" s="16">
        <v>162</v>
      </c>
      <c r="J11" s="14" t="s">
        <v>114</v>
      </c>
      <c r="K11" s="17" t="s">
        <v>115</v>
      </c>
      <c r="L11" s="14" t="s">
        <v>116</v>
      </c>
      <c r="M11" s="14" t="s">
        <v>116</v>
      </c>
      <c r="N11" s="18">
        <v>1</v>
      </c>
      <c r="O11" s="14" t="s">
        <v>116</v>
      </c>
      <c r="P11" s="14" t="s">
        <v>116</v>
      </c>
      <c r="Q11" s="14" t="s">
        <v>116</v>
      </c>
      <c r="R11" s="14" t="s">
        <v>116</v>
      </c>
      <c r="S11" s="15" t="s">
        <v>123</v>
      </c>
      <c r="T11" s="15" t="s">
        <v>139</v>
      </c>
      <c r="U11" s="15" t="s">
        <v>125</v>
      </c>
      <c r="V11" s="24" t="s">
        <v>126</v>
      </c>
    </row>
    <row r="12" spans="1:22">
      <c r="A12" s="20">
        <v>8</v>
      </c>
      <c r="B12" s="21" t="s">
        <v>140</v>
      </c>
      <c r="C12" s="20" t="s">
        <v>109</v>
      </c>
      <c r="D12" s="20" t="s">
        <v>110</v>
      </c>
      <c r="E12" s="20" t="s">
        <v>122</v>
      </c>
      <c r="F12" s="20" t="s">
        <v>112</v>
      </c>
      <c r="G12" s="20" t="s">
        <v>113</v>
      </c>
      <c r="H12" s="20" t="s">
        <v>10</v>
      </c>
      <c r="I12" s="22">
        <v>160</v>
      </c>
      <c r="J12" s="20" t="s">
        <v>114</v>
      </c>
      <c r="K12" s="17" t="s">
        <v>115</v>
      </c>
      <c r="L12" s="20">
        <v>2012</v>
      </c>
      <c r="M12" s="20" t="s">
        <v>116</v>
      </c>
      <c r="N12" s="23">
        <v>1</v>
      </c>
      <c r="O12" s="20" t="s">
        <v>116</v>
      </c>
      <c r="P12" s="20" t="s">
        <v>116</v>
      </c>
      <c r="Q12" s="20" t="s">
        <v>116</v>
      </c>
      <c r="R12" s="20" t="s">
        <v>116</v>
      </c>
      <c r="S12" s="21" t="s">
        <v>123</v>
      </c>
      <c r="T12" s="21" t="s">
        <v>141</v>
      </c>
      <c r="U12" s="21" t="s">
        <v>125</v>
      </c>
      <c r="V12" s="24" t="s">
        <v>126</v>
      </c>
    </row>
    <row r="13" spans="1:22">
      <c r="A13" s="14">
        <v>9</v>
      </c>
      <c r="B13" s="15" t="s">
        <v>142</v>
      </c>
      <c r="C13" s="14" t="s">
        <v>109</v>
      </c>
      <c r="D13" s="14" t="s">
        <v>110</v>
      </c>
      <c r="E13" s="14" t="s">
        <v>143</v>
      </c>
      <c r="F13" s="14" t="s">
        <v>112</v>
      </c>
      <c r="G13" s="14" t="s">
        <v>113</v>
      </c>
      <c r="H13" s="14" t="s">
        <v>10</v>
      </c>
      <c r="I13" s="16">
        <v>100</v>
      </c>
      <c r="J13" s="14" t="s">
        <v>114</v>
      </c>
      <c r="K13" s="17" t="s">
        <v>115</v>
      </c>
      <c r="L13" s="14" t="s">
        <v>116</v>
      </c>
      <c r="M13" s="14" t="s">
        <v>116</v>
      </c>
      <c r="N13" s="18">
        <v>1</v>
      </c>
      <c r="O13" s="14" t="s">
        <v>116</v>
      </c>
      <c r="P13" s="14" t="s">
        <v>116</v>
      </c>
      <c r="Q13" s="14" t="s">
        <v>116</v>
      </c>
      <c r="R13" s="14" t="s">
        <v>116</v>
      </c>
      <c r="S13" s="15" t="s">
        <v>123</v>
      </c>
      <c r="T13" s="15" t="s">
        <v>144</v>
      </c>
      <c r="U13" s="15" t="s">
        <v>125</v>
      </c>
      <c r="V13" s="24" t="s">
        <v>126</v>
      </c>
    </row>
    <row r="14" spans="1:22">
      <c r="A14" s="20">
        <v>10</v>
      </c>
      <c r="B14" s="21" t="s">
        <v>145</v>
      </c>
      <c r="C14" s="20" t="s">
        <v>109</v>
      </c>
      <c r="D14" s="20" t="s">
        <v>110</v>
      </c>
      <c r="E14" s="20" t="s">
        <v>122</v>
      </c>
      <c r="F14" s="20" t="s">
        <v>112</v>
      </c>
      <c r="G14" s="20" t="s">
        <v>113</v>
      </c>
      <c r="H14" s="20" t="s">
        <v>10</v>
      </c>
      <c r="I14" s="22">
        <v>100</v>
      </c>
      <c r="J14" s="20" t="s">
        <v>114</v>
      </c>
      <c r="K14" s="17" t="s">
        <v>115</v>
      </c>
      <c r="L14" s="20" t="s">
        <v>116</v>
      </c>
      <c r="M14" s="20" t="s">
        <v>116</v>
      </c>
      <c r="N14" s="23">
        <v>1</v>
      </c>
      <c r="O14" s="20" t="s">
        <v>116</v>
      </c>
      <c r="P14" s="20" t="s">
        <v>116</v>
      </c>
      <c r="Q14" s="20" t="s">
        <v>116</v>
      </c>
      <c r="R14" s="20" t="s">
        <v>116</v>
      </c>
      <c r="S14" s="21" t="s">
        <v>123</v>
      </c>
      <c r="T14" s="21" t="s">
        <v>146</v>
      </c>
      <c r="U14" s="21" t="s">
        <v>125</v>
      </c>
      <c r="V14" s="24" t="s">
        <v>126</v>
      </c>
    </row>
    <row r="15" spans="1:22">
      <c r="A15" s="14">
        <v>11</v>
      </c>
      <c r="B15" s="15" t="s">
        <v>147</v>
      </c>
      <c r="C15" s="14" t="s">
        <v>109</v>
      </c>
      <c r="D15" s="14" t="s">
        <v>110</v>
      </c>
      <c r="E15" s="14" t="s">
        <v>143</v>
      </c>
      <c r="F15" s="14" t="s">
        <v>112</v>
      </c>
      <c r="G15" s="14" t="s">
        <v>113</v>
      </c>
      <c r="H15" s="14" t="s">
        <v>10</v>
      </c>
      <c r="I15" s="16">
        <v>75</v>
      </c>
      <c r="J15" s="14" t="s">
        <v>114</v>
      </c>
      <c r="K15" s="17" t="s">
        <v>115</v>
      </c>
      <c r="L15" s="14" t="s">
        <v>116</v>
      </c>
      <c r="M15" s="14" t="s">
        <v>116</v>
      </c>
      <c r="N15" s="18">
        <v>1</v>
      </c>
      <c r="O15" s="14" t="s">
        <v>116</v>
      </c>
      <c r="P15" s="14" t="s">
        <v>116</v>
      </c>
      <c r="Q15" s="14" t="s">
        <v>116</v>
      </c>
      <c r="R15" s="14" t="s">
        <v>116</v>
      </c>
      <c r="S15" s="15" t="s">
        <v>123</v>
      </c>
      <c r="T15" s="15" t="s">
        <v>148</v>
      </c>
      <c r="U15" s="15" t="s">
        <v>125</v>
      </c>
      <c r="V15" s="25" t="s">
        <v>149</v>
      </c>
    </row>
    <row r="16" spans="1:22">
      <c r="A16" s="20">
        <v>12</v>
      </c>
      <c r="B16" s="21" t="s">
        <v>150</v>
      </c>
      <c r="C16" s="20" t="s">
        <v>109</v>
      </c>
      <c r="D16" s="20" t="s">
        <v>110</v>
      </c>
      <c r="E16" s="20" t="s">
        <v>151</v>
      </c>
      <c r="F16" s="20" t="s">
        <v>152</v>
      </c>
      <c r="G16" s="20" t="s">
        <v>113</v>
      </c>
      <c r="H16" s="20" t="s">
        <v>10</v>
      </c>
      <c r="I16" s="22">
        <v>30</v>
      </c>
      <c r="J16" s="20" t="s">
        <v>114</v>
      </c>
      <c r="K16" s="17" t="s">
        <v>115</v>
      </c>
      <c r="L16" s="20" t="s">
        <v>116</v>
      </c>
      <c r="M16" s="20" t="s">
        <v>116</v>
      </c>
      <c r="N16" s="23">
        <v>1</v>
      </c>
      <c r="O16" s="20" t="s">
        <v>116</v>
      </c>
      <c r="P16" s="20" t="s">
        <v>116</v>
      </c>
      <c r="Q16" s="20" t="s">
        <v>116</v>
      </c>
      <c r="R16" s="20" t="s">
        <v>116</v>
      </c>
      <c r="S16" s="21" t="s">
        <v>123</v>
      </c>
      <c r="T16" s="21" t="s">
        <v>153</v>
      </c>
      <c r="U16" s="21" t="s">
        <v>125</v>
      </c>
      <c r="V16" s="25" t="s">
        <v>149</v>
      </c>
    </row>
    <row r="17" spans="1:22">
      <c r="A17" s="14">
        <v>13</v>
      </c>
      <c r="B17" s="15" t="s">
        <v>154</v>
      </c>
      <c r="C17" s="14" t="s">
        <v>155</v>
      </c>
      <c r="D17" s="14" t="s">
        <v>110</v>
      </c>
      <c r="E17" s="14" t="s">
        <v>122</v>
      </c>
      <c r="F17" s="14" t="s">
        <v>156</v>
      </c>
      <c r="G17" s="14" t="s">
        <v>113</v>
      </c>
      <c r="H17" s="14" t="s">
        <v>10</v>
      </c>
      <c r="I17" s="16">
        <v>440</v>
      </c>
      <c r="J17" s="14" t="s">
        <v>114</v>
      </c>
      <c r="K17" s="17" t="s">
        <v>115</v>
      </c>
      <c r="L17" s="14" t="s">
        <v>116</v>
      </c>
      <c r="M17" s="14" t="s">
        <v>116</v>
      </c>
      <c r="N17" s="18">
        <v>1</v>
      </c>
      <c r="O17" s="14" t="s">
        <v>116</v>
      </c>
      <c r="P17" s="14" t="s">
        <v>116</v>
      </c>
      <c r="Q17" s="14" t="s">
        <v>116</v>
      </c>
      <c r="R17" s="14" t="s">
        <v>116</v>
      </c>
      <c r="S17" s="15" t="s">
        <v>123</v>
      </c>
      <c r="T17" s="15" t="s">
        <v>157</v>
      </c>
      <c r="U17" s="15" t="s">
        <v>125</v>
      </c>
      <c r="V17" s="19" t="s">
        <v>120</v>
      </c>
    </row>
    <row r="18" spans="1:22">
      <c r="A18" s="20">
        <v>14</v>
      </c>
      <c r="B18" s="21" t="s">
        <v>158</v>
      </c>
      <c r="C18" s="20" t="s">
        <v>159</v>
      </c>
      <c r="D18" s="20" t="s">
        <v>110</v>
      </c>
      <c r="E18" s="20" t="s">
        <v>122</v>
      </c>
      <c r="F18" s="20" t="s">
        <v>160</v>
      </c>
      <c r="G18" s="20" t="s">
        <v>113</v>
      </c>
      <c r="H18" s="20" t="s">
        <v>10</v>
      </c>
      <c r="I18" s="22">
        <v>100</v>
      </c>
      <c r="J18" s="20" t="s">
        <v>114</v>
      </c>
      <c r="K18" s="17" t="s">
        <v>115</v>
      </c>
      <c r="L18" s="20" t="s">
        <v>116</v>
      </c>
      <c r="M18" s="20" t="s">
        <v>116</v>
      </c>
      <c r="N18" s="23">
        <v>1</v>
      </c>
      <c r="O18" s="20" t="s">
        <v>116</v>
      </c>
      <c r="P18" s="20" t="s">
        <v>116</v>
      </c>
      <c r="Q18" s="20" t="s">
        <v>116</v>
      </c>
      <c r="R18" s="20" t="s">
        <v>116</v>
      </c>
      <c r="S18" s="21" t="s">
        <v>123</v>
      </c>
      <c r="T18" s="21" t="s">
        <v>161</v>
      </c>
      <c r="U18" s="21" t="s">
        <v>125</v>
      </c>
      <c r="V18" s="24" t="s">
        <v>126</v>
      </c>
    </row>
    <row r="19" spans="1:22">
      <c r="A19" s="14">
        <v>15</v>
      </c>
      <c r="B19" s="15" t="s">
        <v>162</v>
      </c>
      <c r="C19" s="14" t="s">
        <v>163</v>
      </c>
      <c r="D19" s="14" t="s">
        <v>110</v>
      </c>
      <c r="E19" s="14" t="s">
        <v>164</v>
      </c>
      <c r="F19" s="14" t="s">
        <v>165</v>
      </c>
      <c r="G19" s="14" t="s">
        <v>113</v>
      </c>
      <c r="H19" s="14" t="s">
        <v>10</v>
      </c>
      <c r="I19" s="16">
        <v>2235</v>
      </c>
      <c r="J19" s="14" t="s">
        <v>114</v>
      </c>
      <c r="K19" s="17" t="s">
        <v>115</v>
      </c>
      <c r="L19" s="14" t="s">
        <v>116</v>
      </c>
      <c r="M19" s="14" t="s">
        <v>116</v>
      </c>
      <c r="N19" s="18">
        <v>0</v>
      </c>
      <c r="O19" s="14" t="s">
        <v>166</v>
      </c>
      <c r="P19" s="14" t="s">
        <v>116</v>
      </c>
      <c r="Q19" s="14" t="s">
        <v>116</v>
      </c>
      <c r="R19" s="14" t="s">
        <v>116</v>
      </c>
      <c r="S19" s="15" t="s">
        <v>167</v>
      </c>
      <c r="T19" s="15" t="s">
        <v>168</v>
      </c>
      <c r="U19" s="15" t="s">
        <v>169</v>
      </c>
      <c r="V19" s="19" t="s">
        <v>120</v>
      </c>
    </row>
    <row r="20" spans="1:22">
      <c r="A20" s="20">
        <v>16</v>
      </c>
      <c r="B20" s="21" t="s">
        <v>170</v>
      </c>
      <c r="C20" s="20" t="s">
        <v>163</v>
      </c>
      <c r="D20" s="20" t="s">
        <v>110</v>
      </c>
      <c r="E20" s="20" t="s">
        <v>171</v>
      </c>
      <c r="F20" s="20" t="s">
        <v>156</v>
      </c>
      <c r="G20" s="20" t="s">
        <v>113</v>
      </c>
      <c r="H20" s="20" t="s">
        <v>10</v>
      </c>
      <c r="I20" s="22">
        <v>610</v>
      </c>
      <c r="J20" s="20" t="s">
        <v>114</v>
      </c>
      <c r="K20" s="17" t="s">
        <v>115</v>
      </c>
      <c r="L20" s="20" t="s">
        <v>116</v>
      </c>
      <c r="M20" s="20" t="s">
        <v>116</v>
      </c>
      <c r="N20" s="23">
        <v>0</v>
      </c>
      <c r="O20" s="20" t="s">
        <v>172</v>
      </c>
      <c r="P20" s="20" t="s">
        <v>116</v>
      </c>
      <c r="Q20" s="20" t="s">
        <v>116</v>
      </c>
      <c r="R20" s="20" t="s">
        <v>116</v>
      </c>
      <c r="S20" s="21" t="s">
        <v>167</v>
      </c>
      <c r="T20" s="21" t="s">
        <v>173</v>
      </c>
      <c r="U20" s="21" t="s">
        <v>174</v>
      </c>
      <c r="V20" s="19" t="s">
        <v>120</v>
      </c>
    </row>
    <row r="21" spans="1:22">
      <c r="A21" s="14">
        <v>17</v>
      </c>
      <c r="B21" s="15" t="s">
        <v>175</v>
      </c>
      <c r="C21" s="14" t="s">
        <v>176</v>
      </c>
      <c r="D21" s="14" t="s">
        <v>110</v>
      </c>
      <c r="E21" s="14" t="s">
        <v>177</v>
      </c>
      <c r="F21" s="14" t="s">
        <v>178</v>
      </c>
      <c r="G21" s="14" t="s">
        <v>113</v>
      </c>
      <c r="H21" s="14" t="s">
        <v>10</v>
      </c>
      <c r="I21" s="16">
        <v>215</v>
      </c>
      <c r="J21" s="14" t="s">
        <v>114</v>
      </c>
      <c r="K21" s="17" t="s">
        <v>115</v>
      </c>
      <c r="L21" s="14" t="s">
        <v>116</v>
      </c>
      <c r="M21" s="14" t="s">
        <v>116</v>
      </c>
      <c r="N21" s="18">
        <v>0</v>
      </c>
      <c r="O21" s="14" t="s">
        <v>179</v>
      </c>
      <c r="P21" s="14" t="s">
        <v>116</v>
      </c>
      <c r="Q21" s="14" t="s">
        <v>116</v>
      </c>
      <c r="R21" s="14" t="s">
        <v>116</v>
      </c>
      <c r="S21" s="15" t="s">
        <v>167</v>
      </c>
      <c r="T21" s="15" t="s">
        <v>180</v>
      </c>
      <c r="U21" s="15" t="s">
        <v>181</v>
      </c>
      <c r="V21" s="24" t="s">
        <v>126</v>
      </c>
    </row>
    <row r="22" spans="1:22">
      <c r="A22" s="20">
        <v>18</v>
      </c>
      <c r="B22" s="21" t="s">
        <v>182</v>
      </c>
      <c r="C22" s="20" t="s">
        <v>176</v>
      </c>
      <c r="D22" s="20" t="s">
        <v>110</v>
      </c>
      <c r="E22" s="20" t="s">
        <v>177</v>
      </c>
      <c r="F22" s="20" t="s">
        <v>183</v>
      </c>
      <c r="G22" s="20" t="s">
        <v>113</v>
      </c>
      <c r="H22" s="20" t="s">
        <v>10</v>
      </c>
      <c r="I22" s="22">
        <v>130</v>
      </c>
      <c r="J22" s="20" t="s">
        <v>114</v>
      </c>
      <c r="K22" s="17" t="s">
        <v>115</v>
      </c>
      <c r="L22" s="20" t="s">
        <v>116</v>
      </c>
      <c r="M22" s="20" t="s">
        <v>116</v>
      </c>
      <c r="N22" s="23">
        <v>0</v>
      </c>
      <c r="O22" s="20" t="s">
        <v>179</v>
      </c>
      <c r="P22" s="20" t="s">
        <v>116</v>
      </c>
      <c r="Q22" s="20" t="s">
        <v>116</v>
      </c>
      <c r="R22" s="20" t="s">
        <v>116</v>
      </c>
      <c r="S22" s="21" t="s">
        <v>167</v>
      </c>
      <c r="T22" s="21" t="s">
        <v>184</v>
      </c>
      <c r="U22" s="21" t="s">
        <v>181</v>
      </c>
      <c r="V22" s="24" t="s">
        <v>126</v>
      </c>
    </row>
    <row r="23" spans="1:22">
      <c r="A23" s="14">
        <v>19</v>
      </c>
      <c r="B23" s="15" t="s">
        <v>185</v>
      </c>
      <c r="C23" s="14" t="s">
        <v>176</v>
      </c>
      <c r="D23" s="14" t="s">
        <v>110</v>
      </c>
      <c r="E23" s="14" t="s">
        <v>177</v>
      </c>
      <c r="F23" s="14" t="s">
        <v>186</v>
      </c>
      <c r="G23" s="14" t="s">
        <v>113</v>
      </c>
      <c r="H23" s="14" t="s">
        <v>10</v>
      </c>
      <c r="I23" s="16">
        <v>95</v>
      </c>
      <c r="J23" s="14" t="s">
        <v>114</v>
      </c>
      <c r="K23" s="17" t="s">
        <v>115</v>
      </c>
      <c r="L23" s="14" t="s">
        <v>116</v>
      </c>
      <c r="M23" s="14" t="s">
        <v>116</v>
      </c>
      <c r="N23" s="18">
        <v>0</v>
      </c>
      <c r="O23" s="14" t="s">
        <v>179</v>
      </c>
      <c r="P23" s="14" t="s">
        <v>116</v>
      </c>
      <c r="Q23" s="14" t="s">
        <v>116</v>
      </c>
      <c r="R23" s="14" t="s">
        <v>116</v>
      </c>
      <c r="S23" s="15" t="s">
        <v>167</v>
      </c>
      <c r="T23" s="15" t="s">
        <v>184</v>
      </c>
      <c r="U23" s="15" t="s">
        <v>181</v>
      </c>
      <c r="V23" s="25" t="s">
        <v>149</v>
      </c>
    </row>
    <row r="24" spans="1:22">
      <c r="A24" s="20">
        <v>20</v>
      </c>
      <c r="B24" s="21" t="s">
        <v>187</v>
      </c>
      <c r="C24" s="20" t="s">
        <v>188</v>
      </c>
      <c r="D24" s="20" t="s">
        <v>110</v>
      </c>
      <c r="E24" s="20" t="s">
        <v>189</v>
      </c>
      <c r="F24" s="20" t="s">
        <v>190</v>
      </c>
      <c r="G24" s="20" t="s">
        <v>191</v>
      </c>
      <c r="H24" s="20" t="s">
        <v>10</v>
      </c>
      <c r="I24" s="22">
        <v>500</v>
      </c>
      <c r="J24" s="20" t="s">
        <v>114</v>
      </c>
      <c r="K24" s="17" t="s">
        <v>115</v>
      </c>
      <c r="L24" s="20" t="s">
        <v>116</v>
      </c>
      <c r="M24" s="20" t="s">
        <v>116</v>
      </c>
      <c r="N24" s="23">
        <v>0.84939999999999993</v>
      </c>
      <c r="O24" s="20" t="s">
        <v>192</v>
      </c>
      <c r="P24" s="20" t="s">
        <v>116</v>
      </c>
      <c r="Q24" s="20" t="s">
        <v>116</v>
      </c>
      <c r="R24" s="20" t="s">
        <v>116</v>
      </c>
      <c r="S24" s="21" t="s">
        <v>193</v>
      </c>
      <c r="T24" s="21" t="s">
        <v>194</v>
      </c>
      <c r="U24" s="21" t="s">
        <v>195</v>
      </c>
      <c r="V24" s="19" t="s">
        <v>120</v>
      </c>
    </row>
    <row r="25" spans="1:22">
      <c r="A25" s="14">
        <v>21</v>
      </c>
      <c r="B25" s="15" t="s">
        <v>196</v>
      </c>
      <c r="C25" s="14" t="s">
        <v>188</v>
      </c>
      <c r="D25" s="14" t="s">
        <v>110</v>
      </c>
      <c r="E25" s="14" t="s">
        <v>197</v>
      </c>
      <c r="F25" s="14" t="s">
        <v>190</v>
      </c>
      <c r="G25" s="14" t="s">
        <v>191</v>
      </c>
      <c r="H25" s="14" t="s">
        <v>10</v>
      </c>
      <c r="I25" s="16">
        <v>372</v>
      </c>
      <c r="J25" s="14" t="s">
        <v>114</v>
      </c>
      <c r="K25" s="17" t="s">
        <v>115</v>
      </c>
      <c r="L25" s="14" t="s">
        <v>116</v>
      </c>
      <c r="M25" s="14" t="s">
        <v>116</v>
      </c>
      <c r="N25" s="18">
        <v>0.84069999999999989</v>
      </c>
      <c r="O25" s="14" t="s">
        <v>198</v>
      </c>
      <c r="P25" s="14" t="s">
        <v>116</v>
      </c>
      <c r="Q25" s="14" t="s">
        <v>116</v>
      </c>
      <c r="R25" s="14" t="s">
        <v>116</v>
      </c>
      <c r="S25" s="15" t="s">
        <v>199</v>
      </c>
      <c r="T25" s="15" t="s">
        <v>200</v>
      </c>
      <c r="U25" s="15" t="s">
        <v>201</v>
      </c>
      <c r="V25" s="19" t="s">
        <v>120</v>
      </c>
    </row>
    <row r="26" spans="1:22">
      <c r="A26" s="20">
        <v>22</v>
      </c>
      <c r="B26" s="21" t="s">
        <v>202</v>
      </c>
      <c r="C26" s="20" t="s">
        <v>188</v>
      </c>
      <c r="D26" s="20" t="s">
        <v>110</v>
      </c>
      <c r="E26" s="20" t="s">
        <v>197</v>
      </c>
      <c r="F26" s="20" t="s">
        <v>190</v>
      </c>
      <c r="G26" s="20" t="s">
        <v>191</v>
      </c>
      <c r="H26" s="20" t="s">
        <v>10</v>
      </c>
      <c r="I26" s="22">
        <v>319</v>
      </c>
      <c r="J26" s="20" t="s">
        <v>114</v>
      </c>
      <c r="K26" s="17" t="s">
        <v>115</v>
      </c>
      <c r="L26" s="20" t="s">
        <v>116</v>
      </c>
      <c r="M26" s="20" t="s">
        <v>116</v>
      </c>
      <c r="N26" s="23">
        <v>0.84069999999999989</v>
      </c>
      <c r="O26" s="20" t="s">
        <v>198</v>
      </c>
      <c r="P26" s="20" t="s">
        <v>116</v>
      </c>
      <c r="Q26" s="20" t="s">
        <v>116</v>
      </c>
      <c r="R26" s="20" t="s">
        <v>116</v>
      </c>
      <c r="S26" s="21" t="s">
        <v>199</v>
      </c>
      <c r="T26" s="21" t="s">
        <v>203</v>
      </c>
      <c r="U26" s="21" t="s">
        <v>125</v>
      </c>
      <c r="V26" s="24" t="s">
        <v>126</v>
      </c>
    </row>
    <row r="27" spans="1:22">
      <c r="A27" s="14">
        <v>23</v>
      </c>
      <c r="B27" s="15" t="s">
        <v>204</v>
      </c>
      <c r="C27" s="14" t="s">
        <v>188</v>
      </c>
      <c r="D27" s="14" t="s">
        <v>110</v>
      </c>
      <c r="E27" s="14" t="s">
        <v>205</v>
      </c>
      <c r="F27" s="14" t="s">
        <v>190</v>
      </c>
      <c r="G27" s="14" t="s">
        <v>191</v>
      </c>
      <c r="H27" s="14" t="s">
        <v>10</v>
      </c>
      <c r="I27" s="16">
        <v>230</v>
      </c>
      <c r="J27" s="14" t="s">
        <v>114</v>
      </c>
      <c r="K27" s="17" t="s">
        <v>115</v>
      </c>
      <c r="L27" s="14" t="s">
        <v>116</v>
      </c>
      <c r="M27" s="14" t="s">
        <v>116</v>
      </c>
      <c r="N27" s="18">
        <v>0.84939999999999993</v>
      </c>
      <c r="O27" s="14" t="s">
        <v>206</v>
      </c>
      <c r="P27" s="14" t="s">
        <v>116</v>
      </c>
      <c r="Q27" s="14" t="s">
        <v>116</v>
      </c>
      <c r="R27" s="14" t="s">
        <v>116</v>
      </c>
      <c r="S27" s="15" t="s">
        <v>207</v>
      </c>
      <c r="T27" s="15" t="s">
        <v>208</v>
      </c>
      <c r="U27" s="15" t="s">
        <v>125</v>
      </c>
      <c r="V27" s="24" t="s">
        <v>126</v>
      </c>
    </row>
    <row r="28" spans="1:22">
      <c r="A28" s="20">
        <v>24</v>
      </c>
      <c r="B28" s="21" t="s">
        <v>209</v>
      </c>
      <c r="C28" s="20" t="s">
        <v>188</v>
      </c>
      <c r="D28" s="20" t="s">
        <v>110</v>
      </c>
      <c r="E28" s="20" t="s">
        <v>210</v>
      </c>
      <c r="F28" s="20" t="s">
        <v>190</v>
      </c>
      <c r="G28" s="20" t="s">
        <v>191</v>
      </c>
      <c r="H28" s="20" t="s">
        <v>10</v>
      </c>
      <c r="I28" s="22">
        <v>92</v>
      </c>
      <c r="J28" s="20" t="s">
        <v>114</v>
      </c>
      <c r="K28" s="17" t="s">
        <v>115</v>
      </c>
      <c r="L28" s="20" t="s">
        <v>116</v>
      </c>
      <c r="M28" s="20" t="s">
        <v>116</v>
      </c>
      <c r="N28" s="23">
        <v>0.84069999999999989</v>
      </c>
      <c r="O28" s="20" t="s">
        <v>211</v>
      </c>
      <c r="P28" s="20" t="s">
        <v>116</v>
      </c>
      <c r="Q28" s="20" t="s">
        <v>116</v>
      </c>
      <c r="R28" s="20" t="s">
        <v>116</v>
      </c>
      <c r="S28" s="21" t="s">
        <v>212</v>
      </c>
      <c r="T28" s="21" t="s">
        <v>213</v>
      </c>
      <c r="U28" s="21" t="s">
        <v>125</v>
      </c>
      <c r="V28" s="25" t="s">
        <v>149</v>
      </c>
    </row>
    <row r="29" spans="1:22">
      <c r="A29" s="14">
        <v>25</v>
      </c>
      <c r="B29" s="15" t="s">
        <v>214</v>
      </c>
      <c r="C29" s="14" t="s">
        <v>215</v>
      </c>
      <c r="D29" s="14" t="s">
        <v>110</v>
      </c>
      <c r="E29" s="14" t="s">
        <v>205</v>
      </c>
      <c r="F29" s="14" t="s">
        <v>216</v>
      </c>
      <c r="G29" s="14" t="s">
        <v>191</v>
      </c>
      <c r="H29" s="14" t="s">
        <v>10</v>
      </c>
      <c r="I29" s="16">
        <v>124</v>
      </c>
      <c r="J29" s="14" t="s">
        <v>114</v>
      </c>
      <c r="K29" s="17" t="s">
        <v>115</v>
      </c>
      <c r="L29" s="14" t="s">
        <v>116</v>
      </c>
      <c r="M29" s="14" t="s">
        <v>116</v>
      </c>
      <c r="N29" s="18">
        <v>0.84939999999999993</v>
      </c>
      <c r="O29" s="14" t="s">
        <v>206</v>
      </c>
      <c r="P29" s="14" t="s">
        <v>116</v>
      </c>
      <c r="Q29" s="14" t="s">
        <v>116</v>
      </c>
      <c r="R29" s="14" t="s">
        <v>116</v>
      </c>
      <c r="S29" s="15" t="s">
        <v>217</v>
      </c>
      <c r="T29" s="15" t="s">
        <v>218</v>
      </c>
      <c r="U29" s="15" t="s">
        <v>135</v>
      </c>
      <c r="V29" s="24" t="s">
        <v>126</v>
      </c>
    </row>
    <row r="30" spans="1:22">
      <c r="A30" s="20">
        <v>26</v>
      </c>
      <c r="B30" s="21" t="s">
        <v>219</v>
      </c>
      <c r="C30" s="20" t="s">
        <v>215</v>
      </c>
      <c r="D30" s="20" t="s">
        <v>110</v>
      </c>
      <c r="E30" s="20" t="s">
        <v>143</v>
      </c>
      <c r="F30" s="20" t="s">
        <v>220</v>
      </c>
      <c r="G30" s="20" t="s">
        <v>191</v>
      </c>
      <c r="H30" s="20" t="s">
        <v>10</v>
      </c>
      <c r="I30" s="22">
        <v>50</v>
      </c>
      <c r="J30" s="20" t="s">
        <v>114</v>
      </c>
      <c r="K30" s="17" t="s">
        <v>115</v>
      </c>
      <c r="L30" s="20" t="s">
        <v>116</v>
      </c>
      <c r="M30" s="20" t="s">
        <v>116</v>
      </c>
      <c r="N30" s="23">
        <v>0.84939999999999993</v>
      </c>
      <c r="O30" s="20" t="s">
        <v>221</v>
      </c>
      <c r="P30" s="20" t="s">
        <v>116</v>
      </c>
      <c r="Q30" s="20" t="s">
        <v>116</v>
      </c>
      <c r="R30" s="20" t="s">
        <v>116</v>
      </c>
      <c r="S30" s="21" t="s">
        <v>222</v>
      </c>
      <c r="T30" s="21" t="s">
        <v>223</v>
      </c>
      <c r="U30" s="21" t="s">
        <v>125</v>
      </c>
      <c r="V30" s="25" t="s">
        <v>149</v>
      </c>
    </row>
    <row r="31" spans="1:22">
      <c r="A31" s="14">
        <v>27</v>
      </c>
      <c r="B31" s="15" t="s">
        <v>224</v>
      </c>
      <c r="C31" s="14" t="s">
        <v>225</v>
      </c>
      <c r="D31" s="14" t="s">
        <v>110</v>
      </c>
      <c r="E31" s="14" t="s">
        <v>197</v>
      </c>
      <c r="F31" s="14" t="s">
        <v>226</v>
      </c>
      <c r="G31" s="14" t="s">
        <v>227</v>
      </c>
      <c r="H31" s="14" t="s">
        <v>10</v>
      </c>
      <c r="I31" s="16">
        <v>400</v>
      </c>
      <c r="J31" s="14" t="s">
        <v>114</v>
      </c>
      <c r="K31" s="17" t="s">
        <v>115</v>
      </c>
      <c r="L31" s="14" t="s">
        <v>116</v>
      </c>
      <c r="M31" s="14" t="s">
        <v>116</v>
      </c>
      <c r="N31" s="18">
        <v>0.84069999999999989</v>
      </c>
      <c r="O31" s="14" t="s">
        <v>198</v>
      </c>
      <c r="P31" s="14" t="s">
        <v>116</v>
      </c>
      <c r="Q31" s="14" t="s">
        <v>116</v>
      </c>
      <c r="R31" s="14" t="s">
        <v>116</v>
      </c>
      <c r="S31" s="15" t="s">
        <v>199</v>
      </c>
      <c r="T31" s="15" t="s">
        <v>228</v>
      </c>
      <c r="U31" s="15" t="s">
        <v>135</v>
      </c>
      <c r="V31" s="19" t="s">
        <v>120</v>
      </c>
    </row>
    <row r="32" spans="1:22">
      <c r="A32" s="20">
        <v>28</v>
      </c>
      <c r="B32" s="21" t="s">
        <v>229</v>
      </c>
      <c r="C32" s="20" t="s">
        <v>230</v>
      </c>
      <c r="D32" s="20" t="s">
        <v>110</v>
      </c>
      <c r="E32" s="20" t="s">
        <v>205</v>
      </c>
      <c r="F32" s="20" t="s">
        <v>231</v>
      </c>
      <c r="G32" s="20" t="s">
        <v>232</v>
      </c>
      <c r="H32" s="20" t="s">
        <v>10</v>
      </c>
      <c r="I32" s="22">
        <v>300</v>
      </c>
      <c r="J32" s="20" t="s">
        <v>114</v>
      </c>
      <c r="K32" s="17" t="s">
        <v>115</v>
      </c>
      <c r="L32" s="20" t="s">
        <v>116</v>
      </c>
      <c r="M32" s="20" t="s">
        <v>116</v>
      </c>
      <c r="N32" s="23">
        <v>0.84939999999999993</v>
      </c>
      <c r="O32" s="20" t="s">
        <v>206</v>
      </c>
      <c r="P32" s="20" t="s">
        <v>116</v>
      </c>
      <c r="Q32" s="20" t="s">
        <v>116</v>
      </c>
      <c r="R32" s="20" t="s">
        <v>116</v>
      </c>
      <c r="S32" s="21" t="s">
        <v>207</v>
      </c>
      <c r="T32" s="21" t="s">
        <v>233</v>
      </c>
      <c r="U32" s="21" t="s">
        <v>135</v>
      </c>
      <c r="V32" s="24" t="s">
        <v>126</v>
      </c>
    </row>
    <row r="33" spans="1:22">
      <c r="A33" s="14">
        <v>29</v>
      </c>
      <c r="B33" s="15" t="s">
        <v>234</v>
      </c>
      <c r="C33" s="14" t="s">
        <v>235</v>
      </c>
      <c r="D33" s="14" t="s">
        <v>110</v>
      </c>
      <c r="E33" s="14" t="s">
        <v>236</v>
      </c>
      <c r="F33" s="14" t="s">
        <v>237</v>
      </c>
      <c r="G33" s="14" t="s">
        <v>238</v>
      </c>
      <c r="H33" s="14" t="s">
        <v>10</v>
      </c>
      <c r="I33" s="16">
        <v>500</v>
      </c>
      <c r="J33" s="14" t="s">
        <v>114</v>
      </c>
      <c r="K33" s="17" t="s">
        <v>115</v>
      </c>
      <c r="L33" s="14" t="s">
        <v>116</v>
      </c>
      <c r="M33" s="14" t="s">
        <v>116</v>
      </c>
      <c r="N33" s="18">
        <v>0</v>
      </c>
      <c r="O33" s="14" t="s">
        <v>239</v>
      </c>
      <c r="P33" s="14" t="s">
        <v>116</v>
      </c>
      <c r="Q33" s="14" t="s">
        <v>116</v>
      </c>
      <c r="R33" s="14" t="s">
        <v>116</v>
      </c>
      <c r="S33" s="15" t="s">
        <v>167</v>
      </c>
      <c r="T33" s="15" t="s">
        <v>240</v>
      </c>
      <c r="U33" s="15" t="s">
        <v>241</v>
      </c>
      <c r="V33" s="19" t="s">
        <v>120</v>
      </c>
    </row>
    <row r="34" spans="1:22">
      <c r="A34" s="20">
        <v>30</v>
      </c>
      <c r="B34" s="21" t="s">
        <v>242</v>
      </c>
      <c r="C34" s="20" t="s">
        <v>243</v>
      </c>
      <c r="D34" s="20" t="s">
        <v>110</v>
      </c>
      <c r="E34" s="20" t="s">
        <v>122</v>
      </c>
      <c r="F34" s="20" t="s">
        <v>244</v>
      </c>
      <c r="G34" s="20" t="s">
        <v>245</v>
      </c>
      <c r="H34" s="20" t="s">
        <v>10</v>
      </c>
      <c r="I34" s="22">
        <v>202</v>
      </c>
      <c r="J34" s="20" t="s">
        <v>114</v>
      </c>
      <c r="K34" s="17" t="s">
        <v>115</v>
      </c>
      <c r="L34" s="20">
        <v>2021</v>
      </c>
      <c r="M34" s="20" t="s">
        <v>116</v>
      </c>
      <c r="N34" s="23">
        <v>1</v>
      </c>
      <c r="O34" s="20" t="s">
        <v>116</v>
      </c>
      <c r="P34" s="20" t="s">
        <v>116</v>
      </c>
      <c r="Q34" s="20" t="s">
        <v>116</v>
      </c>
      <c r="R34" s="20" t="s">
        <v>116</v>
      </c>
      <c r="S34" s="21" t="s">
        <v>123</v>
      </c>
      <c r="T34" s="21" t="s">
        <v>246</v>
      </c>
      <c r="U34" s="21" t="s">
        <v>125</v>
      </c>
      <c r="V34" s="24" t="s">
        <v>126</v>
      </c>
    </row>
    <row r="35" spans="1:22">
      <c r="A35" s="14">
        <v>31</v>
      </c>
      <c r="B35" s="15" t="s">
        <v>247</v>
      </c>
      <c r="C35" s="14" t="s">
        <v>243</v>
      </c>
      <c r="D35" s="14" t="s">
        <v>110</v>
      </c>
      <c r="E35" s="14" t="s">
        <v>122</v>
      </c>
      <c r="F35" s="14" t="s">
        <v>244</v>
      </c>
      <c r="G35" s="14" t="s">
        <v>245</v>
      </c>
      <c r="H35" s="14" t="s">
        <v>10</v>
      </c>
      <c r="I35" s="16">
        <v>100</v>
      </c>
      <c r="J35" s="14" t="s">
        <v>114</v>
      </c>
      <c r="K35" s="17" t="s">
        <v>115</v>
      </c>
      <c r="L35" s="14">
        <v>2010</v>
      </c>
      <c r="M35" s="14" t="s">
        <v>116</v>
      </c>
      <c r="N35" s="18">
        <v>1</v>
      </c>
      <c r="O35" s="14" t="s">
        <v>116</v>
      </c>
      <c r="P35" s="14" t="s">
        <v>116</v>
      </c>
      <c r="Q35" s="14" t="s">
        <v>116</v>
      </c>
      <c r="R35" s="14" t="s">
        <v>116</v>
      </c>
      <c r="S35" s="15" t="s">
        <v>123</v>
      </c>
      <c r="T35" s="15" t="s">
        <v>248</v>
      </c>
      <c r="U35" s="15" t="s">
        <v>125</v>
      </c>
      <c r="V35" s="24" t="s">
        <v>126</v>
      </c>
    </row>
    <row r="36" spans="1:22">
      <c r="A36" s="20">
        <v>32</v>
      </c>
      <c r="B36" s="21" t="s">
        <v>249</v>
      </c>
      <c r="C36" s="20" t="s">
        <v>250</v>
      </c>
      <c r="D36" s="20" t="s">
        <v>110</v>
      </c>
      <c r="E36" s="20" t="s">
        <v>122</v>
      </c>
      <c r="F36" s="20" t="s">
        <v>251</v>
      </c>
      <c r="G36" s="20" t="s">
        <v>252</v>
      </c>
      <c r="H36" s="20" t="s">
        <v>10</v>
      </c>
      <c r="I36" s="22">
        <v>280</v>
      </c>
      <c r="J36" s="20" t="s">
        <v>114</v>
      </c>
      <c r="K36" s="17" t="s">
        <v>115</v>
      </c>
      <c r="L36" s="20" t="s">
        <v>116</v>
      </c>
      <c r="M36" s="20" t="s">
        <v>116</v>
      </c>
      <c r="N36" s="23">
        <v>1</v>
      </c>
      <c r="O36" s="20" t="s">
        <v>116</v>
      </c>
      <c r="P36" s="20" t="s">
        <v>116</v>
      </c>
      <c r="Q36" s="20" t="s">
        <v>116</v>
      </c>
      <c r="R36" s="20" t="s">
        <v>116</v>
      </c>
      <c r="S36" s="21" t="s">
        <v>123</v>
      </c>
      <c r="T36" s="21" t="s">
        <v>253</v>
      </c>
      <c r="U36" s="21" t="s">
        <v>125</v>
      </c>
      <c r="V36" s="24" t="s">
        <v>126</v>
      </c>
    </row>
    <row r="37" spans="1:22">
      <c r="A37" s="14">
        <v>33</v>
      </c>
      <c r="B37" s="15" t="s">
        <v>254</v>
      </c>
      <c r="C37" s="14" t="s">
        <v>255</v>
      </c>
      <c r="D37" s="14" t="s">
        <v>110</v>
      </c>
      <c r="E37" s="14" t="s">
        <v>111</v>
      </c>
      <c r="F37" s="14" t="s">
        <v>244</v>
      </c>
      <c r="G37" s="14" t="s">
        <v>245</v>
      </c>
      <c r="H37" s="14" t="s">
        <v>10</v>
      </c>
      <c r="I37" s="16">
        <v>301</v>
      </c>
      <c r="J37" s="14" t="s">
        <v>114</v>
      </c>
      <c r="K37" s="17" t="s">
        <v>115</v>
      </c>
      <c r="L37" s="14" t="s">
        <v>116</v>
      </c>
      <c r="M37" s="14" t="s">
        <v>116</v>
      </c>
      <c r="N37" s="18">
        <v>0.89980000000000004</v>
      </c>
      <c r="O37" s="14" t="s">
        <v>256</v>
      </c>
      <c r="P37" s="14" t="s">
        <v>116</v>
      </c>
      <c r="Q37" s="14" t="s">
        <v>116</v>
      </c>
      <c r="R37" s="14" t="s">
        <v>116</v>
      </c>
      <c r="S37" s="15" t="s">
        <v>257</v>
      </c>
      <c r="T37" s="15" t="s">
        <v>258</v>
      </c>
      <c r="U37" s="15" t="s">
        <v>259</v>
      </c>
      <c r="V37" s="19" t="s">
        <v>120</v>
      </c>
    </row>
    <row r="38" spans="1:22">
      <c r="A38" s="20">
        <v>34</v>
      </c>
      <c r="B38" s="21" t="s">
        <v>260</v>
      </c>
      <c r="C38" s="20" t="s">
        <v>255</v>
      </c>
      <c r="D38" s="20" t="s">
        <v>110</v>
      </c>
      <c r="E38" s="20" t="s">
        <v>122</v>
      </c>
      <c r="F38" s="20" t="s">
        <v>244</v>
      </c>
      <c r="G38" s="20" t="s">
        <v>245</v>
      </c>
      <c r="H38" s="20" t="s">
        <v>10</v>
      </c>
      <c r="I38" s="22">
        <v>243</v>
      </c>
      <c r="J38" s="20" t="s">
        <v>114</v>
      </c>
      <c r="K38" s="17" t="s">
        <v>115</v>
      </c>
      <c r="L38" s="20" t="s">
        <v>116</v>
      </c>
      <c r="M38" s="20" t="s">
        <v>116</v>
      </c>
      <c r="N38" s="23">
        <v>0.89980000000000004</v>
      </c>
      <c r="O38" s="20" t="s">
        <v>261</v>
      </c>
      <c r="P38" s="20" t="s">
        <v>116</v>
      </c>
      <c r="Q38" s="20" t="s">
        <v>116</v>
      </c>
      <c r="R38" s="20" t="s">
        <v>116</v>
      </c>
      <c r="S38" s="21" t="s">
        <v>262</v>
      </c>
      <c r="T38" s="21" t="s">
        <v>263</v>
      </c>
      <c r="U38" s="21" t="s">
        <v>264</v>
      </c>
      <c r="V38" s="24" t="s">
        <v>126</v>
      </c>
    </row>
    <row r="39" spans="1:22">
      <c r="A39" s="14">
        <v>35</v>
      </c>
      <c r="B39" s="15" t="s">
        <v>265</v>
      </c>
      <c r="C39" s="14" t="s">
        <v>255</v>
      </c>
      <c r="D39" s="14" t="s">
        <v>110</v>
      </c>
      <c r="E39" s="14" t="s">
        <v>266</v>
      </c>
      <c r="F39" s="14" t="s">
        <v>244</v>
      </c>
      <c r="G39" s="14" t="s">
        <v>245</v>
      </c>
      <c r="H39" s="14" t="s">
        <v>10</v>
      </c>
      <c r="I39" s="16">
        <v>225</v>
      </c>
      <c r="J39" s="14" t="s">
        <v>114</v>
      </c>
      <c r="K39" s="17" t="s">
        <v>115</v>
      </c>
      <c r="L39" s="14" t="s">
        <v>116</v>
      </c>
      <c r="M39" s="14" t="s">
        <v>116</v>
      </c>
      <c r="N39" s="18">
        <v>0.89980000000000004</v>
      </c>
      <c r="O39" s="14" t="s">
        <v>267</v>
      </c>
      <c r="P39" s="14" t="s">
        <v>116</v>
      </c>
      <c r="Q39" s="14" t="s">
        <v>116</v>
      </c>
      <c r="R39" s="14" t="s">
        <v>116</v>
      </c>
      <c r="S39" s="15" t="s">
        <v>262</v>
      </c>
      <c r="T39" s="15" t="s">
        <v>268</v>
      </c>
      <c r="U39" s="15" t="s">
        <v>269</v>
      </c>
      <c r="V39" s="19" t="s">
        <v>120</v>
      </c>
    </row>
    <row r="40" spans="1:22">
      <c r="A40" s="20">
        <v>36</v>
      </c>
      <c r="B40" s="21" t="s">
        <v>270</v>
      </c>
      <c r="C40" s="20" t="s">
        <v>255</v>
      </c>
      <c r="D40" s="20" t="s">
        <v>110</v>
      </c>
      <c r="E40" s="20" t="s">
        <v>271</v>
      </c>
      <c r="F40" s="20" t="s">
        <v>244</v>
      </c>
      <c r="G40" s="20" t="s">
        <v>245</v>
      </c>
      <c r="H40" s="20" t="s">
        <v>10</v>
      </c>
      <c r="I40" s="22">
        <v>75</v>
      </c>
      <c r="J40" s="20" t="s">
        <v>114</v>
      </c>
      <c r="K40" s="17" t="s">
        <v>115</v>
      </c>
      <c r="L40" s="20" t="s">
        <v>116</v>
      </c>
      <c r="M40" s="20" t="s">
        <v>116</v>
      </c>
      <c r="N40" s="23">
        <v>0.89980000000000004</v>
      </c>
      <c r="O40" s="20" t="s">
        <v>261</v>
      </c>
      <c r="P40" s="20" t="s">
        <v>116</v>
      </c>
      <c r="Q40" s="20" t="s">
        <v>116</v>
      </c>
      <c r="R40" s="20" t="s">
        <v>116</v>
      </c>
      <c r="S40" s="21" t="s">
        <v>262</v>
      </c>
      <c r="T40" s="21" t="s">
        <v>272</v>
      </c>
      <c r="U40" s="21" t="s">
        <v>273</v>
      </c>
      <c r="V40" s="25" t="s">
        <v>149</v>
      </c>
    </row>
    <row r="41" spans="1:22">
      <c r="A41" s="14">
        <v>37</v>
      </c>
      <c r="B41" s="15" t="s">
        <v>274</v>
      </c>
      <c r="C41" s="14" t="s">
        <v>255</v>
      </c>
      <c r="D41" s="14" t="s">
        <v>110</v>
      </c>
      <c r="E41" s="14" t="s">
        <v>271</v>
      </c>
      <c r="F41" s="14" t="s">
        <v>244</v>
      </c>
      <c r="G41" s="14" t="s">
        <v>245</v>
      </c>
      <c r="H41" s="14" t="s">
        <v>10</v>
      </c>
      <c r="I41" s="16">
        <v>71</v>
      </c>
      <c r="J41" s="14" t="s">
        <v>114</v>
      </c>
      <c r="K41" s="17" t="s">
        <v>115</v>
      </c>
      <c r="L41" s="14" t="s">
        <v>116</v>
      </c>
      <c r="M41" s="14" t="s">
        <v>116</v>
      </c>
      <c r="N41" s="18">
        <v>0.89980000000000004</v>
      </c>
      <c r="O41" s="14" t="s">
        <v>261</v>
      </c>
      <c r="P41" s="14" t="s">
        <v>116</v>
      </c>
      <c r="Q41" s="14" t="s">
        <v>116</v>
      </c>
      <c r="R41" s="14" t="s">
        <v>116</v>
      </c>
      <c r="S41" s="15" t="s">
        <v>262</v>
      </c>
      <c r="T41" s="15" t="s">
        <v>275</v>
      </c>
      <c r="U41" s="15" t="s">
        <v>276</v>
      </c>
      <c r="V41" s="25" t="s">
        <v>149</v>
      </c>
    </row>
    <row r="42" spans="1:22">
      <c r="A42" s="20">
        <v>38</v>
      </c>
      <c r="B42" s="21" t="s">
        <v>277</v>
      </c>
      <c r="C42" s="20" t="s">
        <v>255</v>
      </c>
      <c r="D42" s="20" t="s">
        <v>110</v>
      </c>
      <c r="E42" s="20" t="s">
        <v>151</v>
      </c>
      <c r="F42" s="20" t="s">
        <v>244</v>
      </c>
      <c r="G42" s="20" t="s">
        <v>245</v>
      </c>
      <c r="H42" s="20" t="s">
        <v>10</v>
      </c>
      <c r="I42" s="22">
        <v>37</v>
      </c>
      <c r="J42" s="20" t="s">
        <v>114</v>
      </c>
      <c r="K42" s="17" t="s">
        <v>115</v>
      </c>
      <c r="L42" s="20" t="s">
        <v>116</v>
      </c>
      <c r="M42" s="20" t="s">
        <v>116</v>
      </c>
      <c r="N42" s="23">
        <v>0.89980000000000004</v>
      </c>
      <c r="O42" s="20" t="s">
        <v>261</v>
      </c>
      <c r="P42" s="20" t="s">
        <v>116</v>
      </c>
      <c r="Q42" s="20" t="s">
        <v>116</v>
      </c>
      <c r="R42" s="20" t="s">
        <v>116</v>
      </c>
      <c r="S42" s="21" t="s">
        <v>262</v>
      </c>
      <c r="T42" s="21" t="s">
        <v>278</v>
      </c>
      <c r="U42" s="21" t="s">
        <v>273</v>
      </c>
      <c r="V42" s="25" t="s">
        <v>149</v>
      </c>
    </row>
    <row r="43" spans="1:22">
      <c r="A43" s="14">
        <v>39</v>
      </c>
      <c r="B43" s="15" t="s">
        <v>279</v>
      </c>
      <c r="C43" s="14" t="s">
        <v>255</v>
      </c>
      <c r="D43" s="14" t="s">
        <v>110</v>
      </c>
      <c r="E43" s="14" t="s">
        <v>151</v>
      </c>
      <c r="F43" s="14" t="s">
        <v>244</v>
      </c>
      <c r="G43" s="14" t="s">
        <v>245</v>
      </c>
      <c r="H43" s="14" t="s">
        <v>10</v>
      </c>
      <c r="I43" s="16">
        <v>30</v>
      </c>
      <c r="J43" s="14" t="s">
        <v>114</v>
      </c>
      <c r="K43" s="17" t="s">
        <v>115</v>
      </c>
      <c r="L43" s="14" t="s">
        <v>116</v>
      </c>
      <c r="M43" s="14" t="s">
        <v>116</v>
      </c>
      <c r="N43" s="18">
        <v>0.89980000000000004</v>
      </c>
      <c r="O43" s="14" t="s">
        <v>261</v>
      </c>
      <c r="P43" s="14" t="s">
        <v>116</v>
      </c>
      <c r="Q43" s="14" t="s">
        <v>116</v>
      </c>
      <c r="R43" s="14" t="s">
        <v>116</v>
      </c>
      <c r="S43" s="15" t="s">
        <v>262</v>
      </c>
      <c r="T43" s="15" t="s">
        <v>280</v>
      </c>
      <c r="U43" s="15" t="s">
        <v>264</v>
      </c>
      <c r="V43" s="25" t="s">
        <v>149</v>
      </c>
    </row>
    <row r="44" spans="1:22">
      <c r="A44" s="20">
        <v>40</v>
      </c>
      <c r="B44" s="21" t="s">
        <v>281</v>
      </c>
      <c r="C44" s="20" t="s">
        <v>282</v>
      </c>
      <c r="D44" s="20" t="s">
        <v>110</v>
      </c>
      <c r="E44" s="20" t="s">
        <v>122</v>
      </c>
      <c r="F44" s="20" t="s">
        <v>283</v>
      </c>
      <c r="G44" s="20" t="s">
        <v>245</v>
      </c>
      <c r="H44" s="20" t="s">
        <v>10</v>
      </c>
      <c r="I44" s="22">
        <v>260</v>
      </c>
      <c r="J44" s="20" t="s">
        <v>114</v>
      </c>
      <c r="K44" s="17" t="s">
        <v>115</v>
      </c>
      <c r="L44" s="20" t="s">
        <v>116</v>
      </c>
      <c r="M44" s="20" t="s">
        <v>116</v>
      </c>
      <c r="N44" s="23">
        <v>0.89980000000000004</v>
      </c>
      <c r="O44" s="20" t="s">
        <v>261</v>
      </c>
      <c r="P44" s="20" t="s">
        <v>116</v>
      </c>
      <c r="Q44" s="20" t="s">
        <v>116</v>
      </c>
      <c r="R44" s="20" t="s">
        <v>116</v>
      </c>
      <c r="S44" s="21" t="s">
        <v>262</v>
      </c>
      <c r="T44" s="21" t="s">
        <v>284</v>
      </c>
      <c r="U44" s="21" t="s">
        <v>285</v>
      </c>
      <c r="V44" s="24" t="s">
        <v>126</v>
      </c>
    </row>
    <row r="45" spans="1:22">
      <c r="A45" s="14">
        <v>41</v>
      </c>
      <c r="B45" s="15" t="s">
        <v>286</v>
      </c>
      <c r="C45" s="14" t="s">
        <v>287</v>
      </c>
      <c r="D45" s="14" t="s">
        <v>110</v>
      </c>
      <c r="E45" s="14" t="s">
        <v>122</v>
      </c>
      <c r="F45" s="14" t="s">
        <v>288</v>
      </c>
      <c r="G45" s="14" t="s">
        <v>245</v>
      </c>
      <c r="H45" s="14" t="s">
        <v>10</v>
      </c>
      <c r="I45" s="16">
        <v>204</v>
      </c>
      <c r="J45" s="14" t="s">
        <v>114</v>
      </c>
      <c r="K45" s="17" t="s">
        <v>115</v>
      </c>
      <c r="L45" s="14" t="s">
        <v>116</v>
      </c>
      <c r="M45" s="14" t="s">
        <v>116</v>
      </c>
      <c r="N45" s="18">
        <v>0.89980000000000004</v>
      </c>
      <c r="O45" s="14" t="s">
        <v>261</v>
      </c>
      <c r="P45" s="14" t="s">
        <v>116</v>
      </c>
      <c r="Q45" s="14" t="s">
        <v>116</v>
      </c>
      <c r="R45" s="14" t="s">
        <v>116</v>
      </c>
      <c r="S45" s="15" t="s">
        <v>262</v>
      </c>
      <c r="T45" s="15" t="s">
        <v>289</v>
      </c>
      <c r="U45" s="15" t="s">
        <v>290</v>
      </c>
      <c r="V45" s="24" t="s">
        <v>126</v>
      </c>
    </row>
    <row r="46" spans="1:22">
      <c r="A46" s="20">
        <v>42</v>
      </c>
      <c r="B46" s="21" t="s">
        <v>291</v>
      </c>
      <c r="C46" s="20" t="s">
        <v>292</v>
      </c>
      <c r="D46" s="20" t="s">
        <v>110</v>
      </c>
      <c r="E46" s="20" t="s">
        <v>122</v>
      </c>
      <c r="F46" s="20" t="s">
        <v>293</v>
      </c>
      <c r="G46" s="20" t="s">
        <v>245</v>
      </c>
      <c r="H46" s="20" t="s">
        <v>10</v>
      </c>
      <c r="I46" s="22">
        <v>160</v>
      </c>
      <c r="J46" s="20" t="s">
        <v>114</v>
      </c>
      <c r="K46" s="17" t="s">
        <v>115</v>
      </c>
      <c r="L46" s="20" t="s">
        <v>116</v>
      </c>
      <c r="M46" s="20" t="s">
        <v>116</v>
      </c>
      <c r="N46" s="23">
        <v>0.89980000000000004</v>
      </c>
      <c r="O46" s="20" t="s">
        <v>261</v>
      </c>
      <c r="P46" s="20" t="s">
        <v>116</v>
      </c>
      <c r="Q46" s="20" t="s">
        <v>116</v>
      </c>
      <c r="R46" s="20" t="s">
        <v>116</v>
      </c>
      <c r="S46" s="21" t="s">
        <v>262</v>
      </c>
      <c r="T46" s="21" t="s">
        <v>294</v>
      </c>
      <c r="U46" s="21" t="s">
        <v>295</v>
      </c>
      <c r="V46" s="24" t="s">
        <v>126</v>
      </c>
    </row>
    <row r="47" spans="1:22">
      <c r="A47" s="14">
        <v>43</v>
      </c>
      <c r="B47" s="15" t="s">
        <v>296</v>
      </c>
      <c r="C47" s="14" t="s">
        <v>297</v>
      </c>
      <c r="D47" s="14" t="s">
        <v>110</v>
      </c>
      <c r="E47" s="14" t="s">
        <v>298</v>
      </c>
      <c r="F47" s="14" t="s">
        <v>299</v>
      </c>
      <c r="G47" s="14" t="s">
        <v>300</v>
      </c>
      <c r="H47" s="14" t="s">
        <v>10</v>
      </c>
      <c r="I47" s="16">
        <v>380</v>
      </c>
      <c r="J47" s="14" t="s">
        <v>114</v>
      </c>
      <c r="K47" s="17" t="s">
        <v>115</v>
      </c>
      <c r="L47" s="14" t="s">
        <v>116</v>
      </c>
      <c r="M47" s="14" t="s">
        <v>116</v>
      </c>
      <c r="N47" s="18">
        <v>1</v>
      </c>
      <c r="O47" s="14" t="s">
        <v>301</v>
      </c>
      <c r="P47" s="14" t="s">
        <v>116</v>
      </c>
      <c r="Q47" s="14" t="s">
        <v>116</v>
      </c>
      <c r="R47" s="14" t="s">
        <v>116</v>
      </c>
      <c r="S47" s="15" t="s">
        <v>302</v>
      </c>
      <c r="T47" s="15" t="s">
        <v>303</v>
      </c>
      <c r="U47" s="15" t="s">
        <v>304</v>
      </c>
      <c r="V47" s="19" t="s">
        <v>120</v>
      </c>
    </row>
    <row r="48" spans="1:22">
      <c r="A48" s="20">
        <v>44</v>
      </c>
      <c r="B48" s="21" t="s">
        <v>305</v>
      </c>
      <c r="C48" s="20" t="s">
        <v>297</v>
      </c>
      <c r="D48" s="20" t="s">
        <v>110</v>
      </c>
      <c r="E48" s="20" t="s">
        <v>122</v>
      </c>
      <c r="F48" s="20" t="s">
        <v>306</v>
      </c>
      <c r="G48" s="20" t="s">
        <v>307</v>
      </c>
      <c r="H48" s="20" t="s">
        <v>10</v>
      </c>
      <c r="I48" s="22">
        <v>246</v>
      </c>
      <c r="J48" s="20" t="s">
        <v>114</v>
      </c>
      <c r="K48" s="17" t="s">
        <v>115</v>
      </c>
      <c r="L48" s="20" t="s">
        <v>116</v>
      </c>
      <c r="M48" s="20" t="s">
        <v>116</v>
      </c>
      <c r="N48" s="23">
        <v>1</v>
      </c>
      <c r="O48" s="20" t="s">
        <v>116</v>
      </c>
      <c r="P48" s="20" t="s">
        <v>116</v>
      </c>
      <c r="Q48" s="20" t="s">
        <v>116</v>
      </c>
      <c r="R48" s="20" t="s">
        <v>116</v>
      </c>
      <c r="S48" s="21" t="s">
        <v>123</v>
      </c>
      <c r="T48" s="21" t="s">
        <v>308</v>
      </c>
      <c r="U48" s="21" t="s">
        <v>125</v>
      </c>
      <c r="V48" s="24" t="s">
        <v>126</v>
      </c>
    </row>
    <row r="49" spans="1:22">
      <c r="A49" s="14">
        <v>45</v>
      </c>
      <c r="B49" s="15" t="s">
        <v>309</v>
      </c>
      <c r="C49" s="14" t="s">
        <v>297</v>
      </c>
      <c r="D49" s="14" t="s">
        <v>110</v>
      </c>
      <c r="E49" s="14" t="s">
        <v>122</v>
      </c>
      <c r="F49" s="14" t="s">
        <v>310</v>
      </c>
      <c r="G49" s="14" t="s">
        <v>311</v>
      </c>
      <c r="H49" s="14" t="s">
        <v>10</v>
      </c>
      <c r="I49" s="16">
        <v>97</v>
      </c>
      <c r="J49" s="14" t="s">
        <v>114</v>
      </c>
      <c r="K49" s="17" t="s">
        <v>115</v>
      </c>
      <c r="L49" s="14" t="s">
        <v>116</v>
      </c>
      <c r="M49" s="14" t="s">
        <v>116</v>
      </c>
      <c r="N49" s="18">
        <v>1</v>
      </c>
      <c r="O49" s="14" t="s">
        <v>116</v>
      </c>
      <c r="P49" s="14" t="s">
        <v>116</v>
      </c>
      <c r="Q49" s="14" t="s">
        <v>116</v>
      </c>
      <c r="R49" s="14" t="s">
        <v>116</v>
      </c>
      <c r="S49" s="15" t="s">
        <v>123</v>
      </c>
      <c r="T49" s="15" t="s">
        <v>312</v>
      </c>
      <c r="U49" s="15" t="s">
        <v>125</v>
      </c>
      <c r="V49" s="25" t="s">
        <v>149</v>
      </c>
    </row>
    <row r="50" spans="1:22">
      <c r="A50" s="20">
        <v>46</v>
      </c>
      <c r="B50" s="21" t="s">
        <v>313</v>
      </c>
      <c r="C50" s="20" t="s">
        <v>314</v>
      </c>
      <c r="D50" s="20" t="s">
        <v>110</v>
      </c>
      <c r="E50" s="20" t="s">
        <v>122</v>
      </c>
      <c r="F50" s="20" t="s">
        <v>315</v>
      </c>
      <c r="G50" s="20" t="s">
        <v>316</v>
      </c>
      <c r="H50" s="20" t="s">
        <v>10</v>
      </c>
      <c r="I50" s="22">
        <v>400</v>
      </c>
      <c r="J50" s="20" t="s">
        <v>114</v>
      </c>
      <c r="K50" s="17" t="s">
        <v>115</v>
      </c>
      <c r="L50" s="20" t="s">
        <v>116</v>
      </c>
      <c r="M50" s="20" t="s">
        <v>116</v>
      </c>
      <c r="N50" s="23">
        <v>1</v>
      </c>
      <c r="O50" s="20" t="s">
        <v>116</v>
      </c>
      <c r="P50" s="20" t="s">
        <v>116</v>
      </c>
      <c r="Q50" s="20" t="s">
        <v>116</v>
      </c>
      <c r="R50" s="20" t="s">
        <v>116</v>
      </c>
      <c r="S50" s="21" t="s">
        <v>123</v>
      </c>
      <c r="T50" s="21" t="s">
        <v>317</v>
      </c>
      <c r="U50" s="21" t="s">
        <v>318</v>
      </c>
      <c r="V50" s="19" t="s">
        <v>120</v>
      </c>
    </row>
    <row r="51" spans="1:22">
      <c r="A51" s="14">
        <v>47</v>
      </c>
      <c r="B51" s="15" t="s">
        <v>319</v>
      </c>
      <c r="C51" s="14" t="s">
        <v>320</v>
      </c>
      <c r="D51" s="14" t="s">
        <v>110</v>
      </c>
      <c r="E51" s="14" t="s">
        <v>122</v>
      </c>
      <c r="F51" s="14" t="s">
        <v>321</v>
      </c>
      <c r="G51" s="14" t="s">
        <v>322</v>
      </c>
      <c r="H51" s="14" t="s">
        <v>10</v>
      </c>
      <c r="I51" s="16">
        <v>225</v>
      </c>
      <c r="J51" s="14" t="s">
        <v>114</v>
      </c>
      <c r="K51" s="17" t="s">
        <v>115</v>
      </c>
      <c r="L51" s="14" t="s">
        <v>116</v>
      </c>
      <c r="M51" s="14" t="s">
        <v>116</v>
      </c>
      <c r="N51" s="18">
        <v>1</v>
      </c>
      <c r="O51" s="14" t="s">
        <v>116</v>
      </c>
      <c r="P51" s="14" t="s">
        <v>116</v>
      </c>
      <c r="Q51" s="14" t="s">
        <v>116</v>
      </c>
      <c r="R51" s="14" t="s">
        <v>116</v>
      </c>
      <c r="S51" s="15" t="s">
        <v>323</v>
      </c>
      <c r="T51" s="15" t="s">
        <v>324</v>
      </c>
      <c r="U51" s="15" t="s">
        <v>125</v>
      </c>
      <c r="V51" s="24" t="s">
        <v>126</v>
      </c>
    </row>
    <row r="52" spans="1:22">
      <c r="A52" s="20">
        <v>48</v>
      </c>
      <c r="B52" s="21" t="s">
        <v>325</v>
      </c>
      <c r="C52" s="20" t="s">
        <v>326</v>
      </c>
      <c r="D52" s="20" t="s">
        <v>110</v>
      </c>
      <c r="E52" s="20" t="s">
        <v>122</v>
      </c>
      <c r="F52" s="20" t="s">
        <v>327</v>
      </c>
      <c r="G52" s="20" t="s">
        <v>328</v>
      </c>
      <c r="H52" s="20" t="s">
        <v>10</v>
      </c>
      <c r="I52" s="22">
        <v>130</v>
      </c>
      <c r="J52" s="20" t="s">
        <v>114</v>
      </c>
      <c r="K52" s="17" t="s">
        <v>115</v>
      </c>
      <c r="L52" s="20" t="s">
        <v>116</v>
      </c>
      <c r="M52" s="20" t="s">
        <v>116</v>
      </c>
      <c r="N52" s="23">
        <v>1</v>
      </c>
      <c r="O52" s="20" t="s">
        <v>116</v>
      </c>
      <c r="P52" s="20" t="s">
        <v>116</v>
      </c>
      <c r="Q52" s="20" t="s">
        <v>116</v>
      </c>
      <c r="R52" s="20" t="s">
        <v>116</v>
      </c>
      <c r="S52" s="21" t="s">
        <v>123</v>
      </c>
      <c r="T52" s="21" t="s">
        <v>329</v>
      </c>
      <c r="U52" s="21" t="s">
        <v>125</v>
      </c>
      <c r="V52" s="24" t="s">
        <v>126</v>
      </c>
    </row>
    <row r="53" spans="1:22">
      <c r="A53" s="14">
        <v>49</v>
      </c>
      <c r="B53" s="15" t="s">
        <v>330</v>
      </c>
      <c r="C53" s="14" t="s">
        <v>331</v>
      </c>
      <c r="D53" s="14" t="s">
        <v>110</v>
      </c>
      <c r="E53" s="14" t="s">
        <v>143</v>
      </c>
      <c r="F53" s="14" t="s">
        <v>332</v>
      </c>
      <c r="G53" s="14" t="s">
        <v>333</v>
      </c>
      <c r="H53" s="14" t="s">
        <v>10</v>
      </c>
      <c r="I53" s="16">
        <v>80</v>
      </c>
      <c r="J53" s="14" t="s">
        <v>114</v>
      </c>
      <c r="K53" s="17" t="s">
        <v>115</v>
      </c>
      <c r="L53" s="14" t="s">
        <v>116</v>
      </c>
      <c r="M53" s="14" t="s">
        <v>116</v>
      </c>
      <c r="N53" s="18">
        <v>1</v>
      </c>
      <c r="O53" s="14" t="s">
        <v>116</v>
      </c>
      <c r="P53" s="14" t="s">
        <v>116</v>
      </c>
      <c r="Q53" s="14" t="s">
        <v>116</v>
      </c>
      <c r="R53" s="14" t="s">
        <v>116</v>
      </c>
      <c r="S53" s="15" t="s">
        <v>123</v>
      </c>
      <c r="T53" s="15" t="s">
        <v>334</v>
      </c>
      <c r="U53" s="15" t="s">
        <v>125</v>
      </c>
      <c r="V53" s="25" t="s">
        <v>149</v>
      </c>
    </row>
    <row r="54" spans="1:22">
      <c r="A54" s="20">
        <v>50</v>
      </c>
      <c r="B54" s="21" t="s">
        <v>335</v>
      </c>
      <c r="C54" s="20" t="s">
        <v>109</v>
      </c>
      <c r="D54" s="20" t="s">
        <v>110</v>
      </c>
      <c r="E54" s="20" t="s">
        <v>336</v>
      </c>
      <c r="F54" s="20" t="s">
        <v>112</v>
      </c>
      <c r="G54" s="20" t="s">
        <v>113</v>
      </c>
      <c r="H54" s="20" t="s">
        <v>10</v>
      </c>
      <c r="I54" s="22">
        <v>300</v>
      </c>
      <c r="J54" s="20" t="s">
        <v>114</v>
      </c>
      <c r="K54" s="17" t="s">
        <v>115</v>
      </c>
      <c r="L54" s="20">
        <v>2026</v>
      </c>
      <c r="M54" s="20" t="s">
        <v>116</v>
      </c>
      <c r="N54" s="23">
        <v>1</v>
      </c>
      <c r="O54" s="20" t="s">
        <v>116</v>
      </c>
      <c r="P54" s="20" t="s">
        <v>116</v>
      </c>
      <c r="Q54" s="20" t="s">
        <v>116</v>
      </c>
      <c r="R54" s="20" t="s">
        <v>116</v>
      </c>
      <c r="S54" s="21" t="s">
        <v>117</v>
      </c>
      <c r="T54" s="21" t="s">
        <v>337</v>
      </c>
      <c r="U54" s="21" t="s">
        <v>338</v>
      </c>
      <c r="V54" s="19" t="s">
        <v>120</v>
      </c>
    </row>
    <row r="55" spans="1:22">
      <c r="A55" s="14">
        <v>51</v>
      </c>
      <c r="B55" s="15" t="s">
        <v>339</v>
      </c>
      <c r="C55" s="14" t="s">
        <v>340</v>
      </c>
      <c r="D55" s="14" t="s">
        <v>110</v>
      </c>
      <c r="E55" s="14" t="s">
        <v>336</v>
      </c>
      <c r="F55" s="14" t="s">
        <v>341</v>
      </c>
      <c r="G55" s="14" t="s">
        <v>245</v>
      </c>
      <c r="H55" s="14" t="s">
        <v>10</v>
      </c>
      <c r="I55" s="16">
        <v>603</v>
      </c>
      <c r="J55" s="14" t="s">
        <v>114</v>
      </c>
      <c r="K55" s="26" t="s">
        <v>342</v>
      </c>
      <c r="L55" s="14" t="s">
        <v>116</v>
      </c>
      <c r="M55" s="14" t="s">
        <v>343</v>
      </c>
      <c r="N55" s="18">
        <v>1</v>
      </c>
      <c r="O55" s="14" t="s">
        <v>116</v>
      </c>
      <c r="P55" s="14">
        <v>4950</v>
      </c>
      <c r="Q55" s="14" t="s">
        <v>12</v>
      </c>
      <c r="R55" s="17" t="s">
        <v>344</v>
      </c>
      <c r="S55" s="15" t="s">
        <v>117</v>
      </c>
      <c r="T55" s="15" t="s">
        <v>345</v>
      </c>
      <c r="U55" s="15" t="s">
        <v>346</v>
      </c>
      <c r="V55" s="19" t="s">
        <v>120</v>
      </c>
    </row>
    <row r="56" spans="1:22">
      <c r="A56" s="20">
        <v>52</v>
      </c>
      <c r="B56" s="21" t="s">
        <v>347</v>
      </c>
      <c r="C56" s="20" t="s">
        <v>243</v>
      </c>
      <c r="D56" s="20" t="s">
        <v>110</v>
      </c>
      <c r="E56" s="20" t="s">
        <v>348</v>
      </c>
      <c r="F56" s="20" t="s">
        <v>349</v>
      </c>
      <c r="G56" s="20" t="s">
        <v>245</v>
      </c>
      <c r="H56" s="20" t="s">
        <v>10</v>
      </c>
      <c r="I56" s="22">
        <v>475</v>
      </c>
      <c r="J56" s="20" t="s">
        <v>114</v>
      </c>
      <c r="K56" s="26" t="s">
        <v>342</v>
      </c>
      <c r="L56" s="20" t="s">
        <v>116</v>
      </c>
      <c r="M56" s="20" t="s">
        <v>350</v>
      </c>
      <c r="N56" s="23">
        <v>1</v>
      </c>
      <c r="O56" s="20" t="s">
        <v>116</v>
      </c>
      <c r="P56" s="20" t="s">
        <v>116</v>
      </c>
      <c r="Q56" s="20" t="s">
        <v>12</v>
      </c>
      <c r="R56" s="17" t="s">
        <v>344</v>
      </c>
      <c r="S56" s="21" t="s">
        <v>351</v>
      </c>
      <c r="T56" s="21" t="s">
        <v>352</v>
      </c>
      <c r="U56" s="21" t="s">
        <v>353</v>
      </c>
      <c r="V56" s="19" t="s">
        <v>120</v>
      </c>
    </row>
    <row r="57" spans="1:22">
      <c r="A57" s="14">
        <v>53</v>
      </c>
      <c r="B57" s="15" t="s">
        <v>354</v>
      </c>
      <c r="C57" s="14" t="s">
        <v>355</v>
      </c>
      <c r="D57" s="14" t="s">
        <v>110</v>
      </c>
      <c r="E57" s="14" t="s">
        <v>348</v>
      </c>
      <c r="F57" s="14" t="s">
        <v>356</v>
      </c>
      <c r="G57" s="14" t="s">
        <v>357</v>
      </c>
      <c r="H57" s="14" t="s">
        <v>10</v>
      </c>
      <c r="I57" s="16">
        <v>360</v>
      </c>
      <c r="J57" s="14" t="s">
        <v>114</v>
      </c>
      <c r="K57" s="26" t="s">
        <v>342</v>
      </c>
      <c r="L57" s="14" t="s">
        <v>116</v>
      </c>
      <c r="M57" s="14" t="s">
        <v>358</v>
      </c>
      <c r="N57" s="18">
        <v>1</v>
      </c>
      <c r="O57" s="14" t="s">
        <v>116</v>
      </c>
      <c r="P57" s="14" t="s">
        <v>116</v>
      </c>
      <c r="Q57" s="14" t="s">
        <v>12</v>
      </c>
      <c r="R57" s="17" t="s">
        <v>344</v>
      </c>
      <c r="S57" s="15" t="s">
        <v>117</v>
      </c>
      <c r="T57" s="15" t="s">
        <v>359</v>
      </c>
      <c r="U57" s="15" t="s">
        <v>360</v>
      </c>
      <c r="V57" s="24" t="s">
        <v>126</v>
      </c>
    </row>
    <row r="58" spans="1:22">
      <c r="A58" s="20">
        <v>54</v>
      </c>
      <c r="B58" s="21" t="s">
        <v>361</v>
      </c>
      <c r="C58" s="20" t="s">
        <v>109</v>
      </c>
      <c r="D58" s="20" t="s">
        <v>110</v>
      </c>
      <c r="E58" s="20" t="s">
        <v>348</v>
      </c>
      <c r="F58" s="20" t="s">
        <v>362</v>
      </c>
      <c r="G58" s="20" t="s">
        <v>113</v>
      </c>
      <c r="H58" s="20" t="s">
        <v>10</v>
      </c>
      <c r="I58" s="22">
        <v>240</v>
      </c>
      <c r="J58" s="20" t="s">
        <v>114</v>
      </c>
      <c r="K58" s="27" t="s">
        <v>363</v>
      </c>
      <c r="L58" s="20" t="s">
        <v>116</v>
      </c>
      <c r="M58" s="20" t="s">
        <v>364</v>
      </c>
      <c r="N58" s="23">
        <v>1</v>
      </c>
      <c r="O58" s="20" t="s">
        <v>116</v>
      </c>
      <c r="P58" s="20" t="s">
        <v>116</v>
      </c>
      <c r="Q58" s="20" t="s">
        <v>12</v>
      </c>
      <c r="R58" s="27" t="s">
        <v>365</v>
      </c>
      <c r="S58" s="21" t="s">
        <v>117</v>
      </c>
      <c r="T58" s="21" t="s">
        <v>366</v>
      </c>
      <c r="U58" s="21" t="s">
        <v>367</v>
      </c>
      <c r="V58" s="24" t="s">
        <v>126</v>
      </c>
    </row>
    <row r="59" spans="1:22">
      <c r="A59" s="14">
        <v>55</v>
      </c>
      <c r="B59" s="15" t="s">
        <v>368</v>
      </c>
      <c r="C59" s="14" t="s">
        <v>109</v>
      </c>
      <c r="D59" s="14" t="s">
        <v>110</v>
      </c>
      <c r="E59" s="14" t="s">
        <v>369</v>
      </c>
      <c r="F59" s="14" t="s">
        <v>112</v>
      </c>
      <c r="G59" s="14" t="s">
        <v>113</v>
      </c>
      <c r="H59" s="14" t="s">
        <v>10</v>
      </c>
      <c r="I59" s="16">
        <v>100</v>
      </c>
      <c r="J59" s="14" t="s">
        <v>114</v>
      </c>
      <c r="K59" s="27" t="s">
        <v>363</v>
      </c>
      <c r="L59" s="14" t="s">
        <v>116</v>
      </c>
      <c r="M59" s="14" t="s">
        <v>370</v>
      </c>
      <c r="N59" s="18">
        <v>1</v>
      </c>
      <c r="O59" s="14" t="s">
        <v>116</v>
      </c>
      <c r="P59" s="14">
        <v>1300</v>
      </c>
      <c r="Q59" s="14" t="s">
        <v>12</v>
      </c>
      <c r="R59" s="27" t="s">
        <v>365</v>
      </c>
      <c r="S59" s="15" t="s">
        <v>117</v>
      </c>
      <c r="T59" s="15" t="s">
        <v>371</v>
      </c>
      <c r="U59" s="15" t="s">
        <v>372</v>
      </c>
      <c r="V59" s="24" t="s">
        <v>126</v>
      </c>
    </row>
    <row r="60" spans="1:22">
      <c r="A60" s="20">
        <v>56</v>
      </c>
      <c r="B60" s="21" t="s">
        <v>373</v>
      </c>
      <c r="C60" s="20" t="s">
        <v>374</v>
      </c>
      <c r="D60" s="20" t="s">
        <v>110</v>
      </c>
      <c r="E60" s="20" t="s">
        <v>375</v>
      </c>
      <c r="F60" s="20" t="s">
        <v>376</v>
      </c>
      <c r="G60" s="20" t="s">
        <v>377</v>
      </c>
      <c r="H60" s="20" t="s">
        <v>10</v>
      </c>
      <c r="I60" s="22">
        <v>483</v>
      </c>
      <c r="J60" s="20" t="s">
        <v>378</v>
      </c>
      <c r="K60" s="27" t="s">
        <v>363</v>
      </c>
      <c r="L60" s="20" t="s">
        <v>116</v>
      </c>
      <c r="M60" s="20" t="s">
        <v>379</v>
      </c>
      <c r="N60" s="23">
        <v>1</v>
      </c>
      <c r="O60" s="20" t="s">
        <v>116</v>
      </c>
      <c r="P60" s="20" t="s">
        <v>116</v>
      </c>
      <c r="Q60" s="20" t="s">
        <v>12</v>
      </c>
      <c r="R60" s="27" t="s">
        <v>365</v>
      </c>
      <c r="S60" s="21" t="s">
        <v>380</v>
      </c>
      <c r="T60" s="21" t="s">
        <v>381</v>
      </c>
      <c r="U60" s="21" t="s">
        <v>382</v>
      </c>
      <c r="V60" s="24" t="s">
        <v>126</v>
      </c>
    </row>
    <row r="61" spans="1:22">
      <c r="A61" s="14">
        <v>57</v>
      </c>
      <c r="B61" s="15" t="s">
        <v>383</v>
      </c>
      <c r="C61" s="14" t="s">
        <v>384</v>
      </c>
      <c r="D61" s="14" t="s">
        <v>385</v>
      </c>
      <c r="E61" s="14" t="s">
        <v>386</v>
      </c>
      <c r="F61" s="14" t="s">
        <v>112</v>
      </c>
      <c r="G61" s="14" t="s">
        <v>113</v>
      </c>
      <c r="H61" s="14" t="s">
        <v>10</v>
      </c>
      <c r="I61" s="14" t="s">
        <v>116</v>
      </c>
      <c r="J61" s="14" t="s">
        <v>116</v>
      </c>
      <c r="K61" s="17" t="s">
        <v>115</v>
      </c>
      <c r="L61" s="14" t="s">
        <v>116</v>
      </c>
      <c r="M61" s="14" t="s">
        <v>116</v>
      </c>
      <c r="N61" s="18">
        <v>1</v>
      </c>
      <c r="O61" s="14" t="s">
        <v>116</v>
      </c>
      <c r="P61" s="14" t="s">
        <v>116</v>
      </c>
      <c r="Q61" s="14" t="s">
        <v>116</v>
      </c>
      <c r="R61" s="14" t="s">
        <v>116</v>
      </c>
      <c r="S61" s="15" t="s">
        <v>387</v>
      </c>
      <c r="T61" s="15" t="s">
        <v>388</v>
      </c>
      <c r="U61" s="15" t="s">
        <v>389</v>
      </c>
      <c r="V61" s="25" t="s">
        <v>149</v>
      </c>
    </row>
    <row r="62" spans="1:22">
      <c r="A62" s="20">
        <v>58</v>
      </c>
      <c r="B62" s="21" t="s">
        <v>390</v>
      </c>
      <c r="C62" s="20" t="s">
        <v>391</v>
      </c>
      <c r="D62" s="20" t="s">
        <v>392</v>
      </c>
      <c r="E62" s="20" t="s">
        <v>393</v>
      </c>
      <c r="F62" s="20" t="s">
        <v>112</v>
      </c>
      <c r="G62" s="20" t="s">
        <v>113</v>
      </c>
      <c r="H62" s="20" t="s">
        <v>10</v>
      </c>
      <c r="I62" s="20" t="s">
        <v>116</v>
      </c>
      <c r="J62" s="20" t="s">
        <v>116</v>
      </c>
      <c r="K62" s="17" t="s">
        <v>115</v>
      </c>
      <c r="L62" s="20" t="s">
        <v>116</v>
      </c>
      <c r="M62" s="20" t="s">
        <v>116</v>
      </c>
      <c r="N62" s="23">
        <v>1</v>
      </c>
      <c r="O62" s="20" t="s">
        <v>116</v>
      </c>
      <c r="P62" s="20" t="s">
        <v>116</v>
      </c>
      <c r="Q62" s="20" t="s">
        <v>116</v>
      </c>
      <c r="R62" s="20" t="s">
        <v>116</v>
      </c>
      <c r="S62" s="21" t="s">
        <v>117</v>
      </c>
      <c r="T62" s="21" t="s">
        <v>394</v>
      </c>
      <c r="U62" s="21" t="s">
        <v>395</v>
      </c>
      <c r="V62" s="25" t="s">
        <v>149</v>
      </c>
    </row>
    <row r="63" spans="1:22">
      <c r="A63" s="14">
        <v>59</v>
      </c>
      <c r="B63" s="15" t="s">
        <v>396</v>
      </c>
      <c r="C63" s="14" t="s">
        <v>391</v>
      </c>
      <c r="D63" s="14" t="s">
        <v>392</v>
      </c>
      <c r="E63" s="14" t="s">
        <v>393</v>
      </c>
      <c r="F63" s="14" t="s">
        <v>112</v>
      </c>
      <c r="G63" s="14" t="s">
        <v>113</v>
      </c>
      <c r="H63" s="14" t="s">
        <v>10</v>
      </c>
      <c r="I63" s="14" t="s">
        <v>116</v>
      </c>
      <c r="J63" s="14" t="s">
        <v>116</v>
      </c>
      <c r="K63" s="17" t="s">
        <v>115</v>
      </c>
      <c r="L63" s="14" t="s">
        <v>116</v>
      </c>
      <c r="M63" s="14" t="s">
        <v>116</v>
      </c>
      <c r="N63" s="18">
        <v>1</v>
      </c>
      <c r="O63" s="14" t="s">
        <v>116</v>
      </c>
      <c r="P63" s="14" t="s">
        <v>116</v>
      </c>
      <c r="Q63" s="14" t="s">
        <v>116</v>
      </c>
      <c r="R63" s="14" t="s">
        <v>116</v>
      </c>
      <c r="S63" s="15" t="s">
        <v>117</v>
      </c>
      <c r="T63" s="15" t="s">
        <v>394</v>
      </c>
      <c r="U63" s="15" t="s">
        <v>395</v>
      </c>
      <c r="V63" s="25" t="s">
        <v>149</v>
      </c>
    </row>
    <row r="64" spans="1:22">
      <c r="A64" s="20">
        <v>60</v>
      </c>
      <c r="B64" s="21" t="s">
        <v>397</v>
      </c>
      <c r="C64" s="20" t="s">
        <v>391</v>
      </c>
      <c r="D64" s="20" t="s">
        <v>392</v>
      </c>
      <c r="E64" s="20" t="s">
        <v>393</v>
      </c>
      <c r="F64" s="20" t="s">
        <v>112</v>
      </c>
      <c r="G64" s="20" t="s">
        <v>113</v>
      </c>
      <c r="H64" s="20" t="s">
        <v>10</v>
      </c>
      <c r="I64" s="20" t="s">
        <v>116</v>
      </c>
      <c r="J64" s="20" t="s">
        <v>116</v>
      </c>
      <c r="K64" s="17" t="s">
        <v>115</v>
      </c>
      <c r="L64" s="20" t="s">
        <v>116</v>
      </c>
      <c r="M64" s="20" t="s">
        <v>116</v>
      </c>
      <c r="N64" s="23">
        <v>1</v>
      </c>
      <c r="O64" s="20" t="s">
        <v>116</v>
      </c>
      <c r="P64" s="20" t="s">
        <v>116</v>
      </c>
      <c r="Q64" s="20" t="s">
        <v>116</v>
      </c>
      <c r="R64" s="20" t="s">
        <v>116</v>
      </c>
      <c r="S64" s="21" t="s">
        <v>117</v>
      </c>
      <c r="T64" s="21" t="s">
        <v>394</v>
      </c>
      <c r="U64" s="21" t="s">
        <v>395</v>
      </c>
      <c r="V64" s="25" t="s">
        <v>149</v>
      </c>
    </row>
    <row r="65" spans="1:22">
      <c r="A65" s="14">
        <v>61</v>
      </c>
      <c r="B65" s="15" t="s">
        <v>398</v>
      </c>
      <c r="C65" s="14" t="s">
        <v>391</v>
      </c>
      <c r="D65" s="14" t="s">
        <v>392</v>
      </c>
      <c r="E65" s="14" t="s">
        <v>393</v>
      </c>
      <c r="F65" s="14" t="s">
        <v>112</v>
      </c>
      <c r="G65" s="14" t="s">
        <v>113</v>
      </c>
      <c r="H65" s="14" t="s">
        <v>10</v>
      </c>
      <c r="I65" s="14" t="s">
        <v>116</v>
      </c>
      <c r="J65" s="14" t="s">
        <v>116</v>
      </c>
      <c r="K65" s="17" t="s">
        <v>115</v>
      </c>
      <c r="L65" s="14" t="s">
        <v>116</v>
      </c>
      <c r="M65" s="14" t="s">
        <v>116</v>
      </c>
      <c r="N65" s="18">
        <v>1</v>
      </c>
      <c r="O65" s="14" t="s">
        <v>116</v>
      </c>
      <c r="P65" s="14" t="s">
        <v>116</v>
      </c>
      <c r="Q65" s="14" t="s">
        <v>116</v>
      </c>
      <c r="R65" s="14" t="s">
        <v>116</v>
      </c>
      <c r="S65" s="15" t="s">
        <v>117</v>
      </c>
      <c r="T65" s="15" t="s">
        <v>394</v>
      </c>
      <c r="U65" s="15" t="s">
        <v>395</v>
      </c>
      <c r="V65" s="25" t="s">
        <v>149</v>
      </c>
    </row>
    <row r="66" spans="1:22">
      <c r="A66" s="20">
        <v>62</v>
      </c>
      <c r="B66" s="21" t="s">
        <v>399</v>
      </c>
      <c r="C66" s="20" t="s">
        <v>391</v>
      </c>
      <c r="D66" s="20" t="s">
        <v>392</v>
      </c>
      <c r="E66" s="20" t="s">
        <v>393</v>
      </c>
      <c r="F66" s="20" t="s">
        <v>112</v>
      </c>
      <c r="G66" s="20" t="s">
        <v>113</v>
      </c>
      <c r="H66" s="20" t="s">
        <v>10</v>
      </c>
      <c r="I66" s="20" t="s">
        <v>116</v>
      </c>
      <c r="J66" s="20" t="s">
        <v>116</v>
      </c>
      <c r="K66" s="17" t="s">
        <v>115</v>
      </c>
      <c r="L66" s="20" t="s">
        <v>116</v>
      </c>
      <c r="M66" s="20" t="s">
        <v>116</v>
      </c>
      <c r="N66" s="23">
        <v>1</v>
      </c>
      <c r="O66" s="20" t="s">
        <v>116</v>
      </c>
      <c r="P66" s="20" t="s">
        <v>116</v>
      </c>
      <c r="Q66" s="20" t="s">
        <v>116</v>
      </c>
      <c r="R66" s="20" t="s">
        <v>116</v>
      </c>
      <c r="S66" s="21" t="s">
        <v>117</v>
      </c>
      <c r="T66" s="21" t="s">
        <v>394</v>
      </c>
      <c r="U66" s="21" t="s">
        <v>395</v>
      </c>
      <c r="V66" s="25" t="s">
        <v>149</v>
      </c>
    </row>
    <row r="67" spans="1:22">
      <c r="A67" s="14">
        <v>63</v>
      </c>
      <c r="B67" s="15" t="s">
        <v>400</v>
      </c>
      <c r="C67" s="14" t="s">
        <v>391</v>
      </c>
      <c r="D67" s="14" t="s">
        <v>392</v>
      </c>
      <c r="E67" s="14" t="s">
        <v>393</v>
      </c>
      <c r="F67" s="14" t="s">
        <v>112</v>
      </c>
      <c r="G67" s="14" t="s">
        <v>113</v>
      </c>
      <c r="H67" s="14" t="s">
        <v>10</v>
      </c>
      <c r="I67" s="14" t="s">
        <v>116</v>
      </c>
      <c r="J67" s="14" t="s">
        <v>116</v>
      </c>
      <c r="K67" s="17" t="s">
        <v>115</v>
      </c>
      <c r="L67" s="14" t="s">
        <v>116</v>
      </c>
      <c r="M67" s="14" t="s">
        <v>116</v>
      </c>
      <c r="N67" s="18">
        <v>1</v>
      </c>
      <c r="O67" s="14" t="s">
        <v>116</v>
      </c>
      <c r="P67" s="14" t="s">
        <v>116</v>
      </c>
      <c r="Q67" s="14" t="s">
        <v>116</v>
      </c>
      <c r="R67" s="14" t="s">
        <v>116</v>
      </c>
      <c r="S67" s="15" t="s">
        <v>117</v>
      </c>
      <c r="T67" s="15" t="s">
        <v>394</v>
      </c>
      <c r="U67" s="15" t="s">
        <v>395</v>
      </c>
      <c r="V67" s="25" t="s">
        <v>149</v>
      </c>
    </row>
    <row r="68" spans="1:22">
      <c r="A68" s="20">
        <v>64</v>
      </c>
      <c r="B68" s="21" t="s">
        <v>401</v>
      </c>
      <c r="C68" s="20" t="s">
        <v>391</v>
      </c>
      <c r="D68" s="20" t="s">
        <v>392</v>
      </c>
      <c r="E68" s="20" t="s">
        <v>393</v>
      </c>
      <c r="F68" s="20" t="s">
        <v>112</v>
      </c>
      <c r="G68" s="20" t="s">
        <v>113</v>
      </c>
      <c r="H68" s="20" t="s">
        <v>10</v>
      </c>
      <c r="I68" s="20" t="s">
        <v>116</v>
      </c>
      <c r="J68" s="20" t="s">
        <v>116</v>
      </c>
      <c r="K68" s="17" t="s">
        <v>115</v>
      </c>
      <c r="L68" s="20" t="s">
        <v>116</v>
      </c>
      <c r="M68" s="20" t="s">
        <v>116</v>
      </c>
      <c r="N68" s="23">
        <v>1</v>
      </c>
      <c r="O68" s="20" t="s">
        <v>116</v>
      </c>
      <c r="P68" s="20" t="s">
        <v>116</v>
      </c>
      <c r="Q68" s="20" t="s">
        <v>116</v>
      </c>
      <c r="R68" s="20" t="s">
        <v>116</v>
      </c>
      <c r="S68" s="21" t="s">
        <v>117</v>
      </c>
      <c r="T68" s="21" t="s">
        <v>394</v>
      </c>
      <c r="U68" s="21" t="s">
        <v>395</v>
      </c>
      <c r="V68" s="25" t="s">
        <v>149</v>
      </c>
    </row>
    <row r="69" spans="1:22">
      <c r="A69" s="14">
        <v>65</v>
      </c>
      <c r="B69" s="15" t="s">
        <v>402</v>
      </c>
      <c r="C69" s="14" t="s">
        <v>391</v>
      </c>
      <c r="D69" s="14" t="s">
        <v>392</v>
      </c>
      <c r="E69" s="14" t="s">
        <v>393</v>
      </c>
      <c r="F69" s="14" t="s">
        <v>403</v>
      </c>
      <c r="G69" s="14" t="s">
        <v>227</v>
      </c>
      <c r="H69" s="14" t="s">
        <v>10</v>
      </c>
      <c r="I69" s="14" t="s">
        <v>116</v>
      </c>
      <c r="J69" s="14" t="s">
        <v>116</v>
      </c>
      <c r="K69" s="17" t="s">
        <v>115</v>
      </c>
      <c r="L69" s="14" t="s">
        <v>116</v>
      </c>
      <c r="M69" s="14" t="s">
        <v>116</v>
      </c>
      <c r="N69" s="18">
        <v>1</v>
      </c>
      <c r="O69" s="14" t="s">
        <v>116</v>
      </c>
      <c r="P69" s="14" t="s">
        <v>116</v>
      </c>
      <c r="Q69" s="14" t="s">
        <v>116</v>
      </c>
      <c r="R69" s="14" t="s">
        <v>116</v>
      </c>
      <c r="S69" s="15" t="s">
        <v>117</v>
      </c>
      <c r="T69" s="15" t="s">
        <v>394</v>
      </c>
      <c r="U69" s="15" t="s">
        <v>395</v>
      </c>
      <c r="V69" s="25" t="s">
        <v>149</v>
      </c>
    </row>
    <row r="70" spans="1:22">
      <c r="A70" s="20">
        <v>66</v>
      </c>
      <c r="B70" s="21" t="s">
        <v>404</v>
      </c>
      <c r="C70" s="20" t="s">
        <v>391</v>
      </c>
      <c r="D70" s="20" t="s">
        <v>392</v>
      </c>
      <c r="E70" s="20" t="s">
        <v>393</v>
      </c>
      <c r="F70" s="20" t="s">
        <v>244</v>
      </c>
      <c r="G70" s="20" t="s">
        <v>245</v>
      </c>
      <c r="H70" s="20" t="s">
        <v>10</v>
      </c>
      <c r="I70" s="20" t="s">
        <v>116</v>
      </c>
      <c r="J70" s="20" t="s">
        <v>116</v>
      </c>
      <c r="K70" s="17" t="s">
        <v>115</v>
      </c>
      <c r="L70" s="20" t="s">
        <v>116</v>
      </c>
      <c r="M70" s="20" t="s">
        <v>116</v>
      </c>
      <c r="N70" s="23">
        <v>1</v>
      </c>
      <c r="O70" s="20" t="s">
        <v>116</v>
      </c>
      <c r="P70" s="20" t="s">
        <v>116</v>
      </c>
      <c r="Q70" s="20" t="s">
        <v>116</v>
      </c>
      <c r="R70" s="20" t="s">
        <v>116</v>
      </c>
      <c r="S70" s="21" t="s">
        <v>117</v>
      </c>
      <c r="T70" s="21" t="s">
        <v>394</v>
      </c>
      <c r="U70" s="21" t="s">
        <v>395</v>
      </c>
      <c r="V70" s="25" t="s">
        <v>149</v>
      </c>
    </row>
    <row r="72" spans="1:22">
      <c r="A72" s="35" t="s">
        <v>84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</row>
  </sheetData>
  <autoFilter ref="A4:V70" xr:uid="{00000000-0009-0000-0000-000001000000}"/>
  <mergeCells count="3">
    <mergeCell ref="A2:V2"/>
    <mergeCell ref="A72:V72"/>
    <mergeCell ref="A1:V1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40" customWidth="1"/>
    <col min="3" max="3" width="25" customWidth="1"/>
    <col min="4" max="4" width="20" customWidth="1"/>
    <col min="5" max="6" width="16" customWidth="1"/>
    <col min="7" max="7" width="35" customWidth="1"/>
    <col min="8" max="8" width="50" customWidth="1"/>
    <col min="9" max="9" width="22" customWidth="1"/>
    <col min="10" max="10" width="35" customWidth="1"/>
  </cols>
  <sheetData>
    <row r="1" spans="1:10">
      <c r="A1" s="36" t="s">
        <v>405</v>
      </c>
      <c r="B1" s="32"/>
      <c r="C1" s="32"/>
      <c r="D1" s="32"/>
      <c r="E1" s="32"/>
      <c r="F1" s="32"/>
      <c r="G1" s="32"/>
      <c r="H1" s="32"/>
      <c r="I1" s="32"/>
      <c r="J1" s="32"/>
    </row>
    <row r="2" spans="1:10">
      <c r="A2" s="33" t="s">
        <v>406</v>
      </c>
      <c r="B2" s="32"/>
      <c r="C2" s="32"/>
      <c r="D2" s="32"/>
      <c r="E2" s="32"/>
      <c r="F2" s="32"/>
      <c r="G2" s="32"/>
      <c r="H2" s="32"/>
      <c r="I2" s="32"/>
      <c r="J2" s="32"/>
    </row>
    <row r="4" spans="1:10">
      <c r="A4" s="3" t="s">
        <v>87</v>
      </c>
      <c r="B4" s="3" t="s">
        <v>407</v>
      </c>
      <c r="C4" s="3" t="s">
        <v>408</v>
      </c>
      <c r="D4" s="3" t="s">
        <v>409</v>
      </c>
      <c r="E4" s="3" t="s">
        <v>410</v>
      </c>
      <c r="F4" s="3" t="s">
        <v>411</v>
      </c>
      <c r="G4" s="3" t="s">
        <v>412</v>
      </c>
      <c r="H4" s="3" t="s">
        <v>413</v>
      </c>
      <c r="I4" s="3" t="s">
        <v>414</v>
      </c>
      <c r="J4" s="3" t="s">
        <v>106</v>
      </c>
    </row>
    <row r="5" spans="1:10">
      <c r="A5" s="14">
        <v>1</v>
      </c>
      <c r="B5" s="15" t="s">
        <v>415</v>
      </c>
      <c r="C5" s="14" t="s">
        <v>416</v>
      </c>
      <c r="D5" s="14" t="s">
        <v>417</v>
      </c>
      <c r="E5" s="14" t="s">
        <v>418</v>
      </c>
      <c r="F5" s="14" t="s">
        <v>419</v>
      </c>
      <c r="G5" s="15" t="s">
        <v>420</v>
      </c>
      <c r="H5" s="28" t="s">
        <v>421</v>
      </c>
      <c r="I5" s="14" t="s">
        <v>422</v>
      </c>
      <c r="J5" s="15" t="s">
        <v>423</v>
      </c>
    </row>
    <row r="6" spans="1:10">
      <c r="A6" s="20">
        <v>2</v>
      </c>
      <c r="B6" s="21" t="s">
        <v>424</v>
      </c>
      <c r="C6" s="20" t="s">
        <v>416</v>
      </c>
      <c r="D6" s="20" t="s">
        <v>417</v>
      </c>
      <c r="E6" s="20" t="s">
        <v>425</v>
      </c>
      <c r="F6" s="20" t="s">
        <v>426</v>
      </c>
      <c r="G6" s="21" t="s">
        <v>427</v>
      </c>
      <c r="H6" s="29" t="s">
        <v>428</v>
      </c>
      <c r="I6" s="20" t="s">
        <v>422</v>
      </c>
      <c r="J6" s="21" t="s">
        <v>429</v>
      </c>
    </row>
    <row r="7" spans="1:10">
      <c r="A7" s="14">
        <v>3</v>
      </c>
      <c r="B7" s="15" t="s">
        <v>430</v>
      </c>
      <c r="C7" s="14" t="s">
        <v>431</v>
      </c>
      <c r="D7" s="14" t="s">
        <v>432</v>
      </c>
      <c r="E7" s="14" t="s">
        <v>433</v>
      </c>
      <c r="F7" s="14" t="s">
        <v>434</v>
      </c>
      <c r="G7" s="15" t="s">
        <v>435</v>
      </c>
      <c r="H7" s="28" t="s">
        <v>436</v>
      </c>
      <c r="I7" s="14" t="s">
        <v>422</v>
      </c>
      <c r="J7" s="15" t="s">
        <v>437</v>
      </c>
    </row>
    <row r="8" spans="1:10">
      <c r="A8" s="20">
        <v>4</v>
      </c>
      <c r="B8" s="21" t="s">
        <v>438</v>
      </c>
      <c r="C8" s="20" t="s">
        <v>439</v>
      </c>
      <c r="D8" s="20" t="s">
        <v>440</v>
      </c>
      <c r="E8" s="20" t="s">
        <v>441</v>
      </c>
      <c r="F8" s="20" t="s">
        <v>434</v>
      </c>
      <c r="G8" s="21" t="s">
        <v>442</v>
      </c>
      <c r="H8" s="29" t="s">
        <v>443</v>
      </c>
      <c r="I8" s="20" t="s">
        <v>422</v>
      </c>
      <c r="J8" s="21" t="s">
        <v>444</v>
      </c>
    </row>
    <row r="9" spans="1:10">
      <c r="A9" s="14">
        <v>5</v>
      </c>
      <c r="B9" s="15" t="s">
        <v>445</v>
      </c>
      <c r="C9" s="14" t="s">
        <v>439</v>
      </c>
      <c r="D9" s="14" t="s">
        <v>387</v>
      </c>
      <c r="E9" s="14" t="s">
        <v>446</v>
      </c>
      <c r="F9" s="14" t="s">
        <v>447</v>
      </c>
      <c r="G9" s="15" t="s">
        <v>448</v>
      </c>
      <c r="H9" s="28" t="s">
        <v>449</v>
      </c>
      <c r="I9" s="14" t="s">
        <v>422</v>
      </c>
      <c r="J9" s="15" t="s">
        <v>450</v>
      </c>
    </row>
    <row r="10" spans="1:10">
      <c r="A10" s="20">
        <v>6</v>
      </c>
      <c r="B10" s="21" t="s">
        <v>451</v>
      </c>
      <c r="C10" s="20" t="s">
        <v>439</v>
      </c>
      <c r="D10" s="20" t="s">
        <v>387</v>
      </c>
      <c r="E10" s="20" t="s">
        <v>452</v>
      </c>
      <c r="F10" s="20" t="s">
        <v>453</v>
      </c>
      <c r="G10" s="21" t="s">
        <v>454</v>
      </c>
      <c r="H10" s="29" t="s">
        <v>455</v>
      </c>
      <c r="I10" s="20" t="s">
        <v>422</v>
      </c>
      <c r="J10" s="21" t="s">
        <v>456</v>
      </c>
    </row>
    <row r="11" spans="1:10">
      <c r="A11" s="14">
        <v>7</v>
      </c>
      <c r="B11" s="15" t="s">
        <v>457</v>
      </c>
      <c r="C11" s="14" t="s">
        <v>458</v>
      </c>
      <c r="D11" s="14" t="s">
        <v>387</v>
      </c>
      <c r="E11" s="14" t="s">
        <v>30</v>
      </c>
      <c r="F11" s="14" t="s">
        <v>459</v>
      </c>
      <c r="G11" s="15" t="s">
        <v>460</v>
      </c>
      <c r="H11" s="28" t="s">
        <v>461</v>
      </c>
      <c r="I11" s="14" t="s">
        <v>422</v>
      </c>
      <c r="J11" s="15" t="s">
        <v>462</v>
      </c>
    </row>
    <row r="12" spans="1:10">
      <c r="A12" s="20">
        <v>8</v>
      </c>
      <c r="B12" s="21" t="s">
        <v>463</v>
      </c>
      <c r="C12" s="20" t="s">
        <v>464</v>
      </c>
      <c r="D12" s="20" t="s">
        <v>387</v>
      </c>
      <c r="E12" s="20" t="s">
        <v>30</v>
      </c>
      <c r="F12" s="20" t="s">
        <v>459</v>
      </c>
      <c r="G12" s="21" t="s">
        <v>465</v>
      </c>
      <c r="H12" s="29" t="s">
        <v>395</v>
      </c>
      <c r="I12" s="20" t="s">
        <v>422</v>
      </c>
      <c r="J12" s="21" t="s">
        <v>466</v>
      </c>
    </row>
    <row r="13" spans="1:10">
      <c r="A13" s="14">
        <v>9</v>
      </c>
      <c r="B13" s="15" t="s">
        <v>467</v>
      </c>
      <c r="C13" s="14" t="s">
        <v>458</v>
      </c>
      <c r="D13" s="14" t="s">
        <v>387</v>
      </c>
      <c r="E13" s="14" t="s">
        <v>30</v>
      </c>
      <c r="F13" s="14" t="s">
        <v>459</v>
      </c>
      <c r="G13" s="15" t="s">
        <v>468</v>
      </c>
      <c r="H13" s="28" t="s">
        <v>469</v>
      </c>
      <c r="I13" s="14" t="s">
        <v>422</v>
      </c>
      <c r="J13" s="15" t="s">
        <v>116</v>
      </c>
    </row>
    <row r="14" spans="1:10">
      <c r="A14" s="20">
        <v>10</v>
      </c>
      <c r="B14" s="21" t="s">
        <v>470</v>
      </c>
      <c r="C14" s="20" t="s">
        <v>471</v>
      </c>
      <c r="D14" s="20" t="s">
        <v>387</v>
      </c>
      <c r="E14" s="20" t="s">
        <v>30</v>
      </c>
      <c r="F14" s="20" t="s">
        <v>459</v>
      </c>
      <c r="G14" s="21" t="s">
        <v>472</v>
      </c>
      <c r="H14" s="29" t="s">
        <v>473</v>
      </c>
      <c r="I14" s="20" t="s">
        <v>422</v>
      </c>
      <c r="J14" s="21" t="s">
        <v>116</v>
      </c>
    </row>
    <row r="15" spans="1:10">
      <c r="A15" s="14">
        <v>11</v>
      </c>
      <c r="B15" s="15" t="s">
        <v>474</v>
      </c>
      <c r="C15" s="14" t="s">
        <v>471</v>
      </c>
      <c r="D15" s="14" t="s">
        <v>387</v>
      </c>
      <c r="E15" s="14" t="s">
        <v>30</v>
      </c>
      <c r="F15" s="14" t="s">
        <v>459</v>
      </c>
      <c r="G15" s="15" t="s">
        <v>475</v>
      </c>
      <c r="H15" s="28" t="s">
        <v>476</v>
      </c>
      <c r="I15" s="14" t="s">
        <v>422</v>
      </c>
      <c r="J15" s="15" t="s">
        <v>477</v>
      </c>
    </row>
    <row r="16" spans="1:10">
      <c r="A16" s="20">
        <v>12</v>
      </c>
      <c r="B16" s="21" t="s">
        <v>478</v>
      </c>
      <c r="C16" s="20" t="s">
        <v>471</v>
      </c>
      <c r="D16" s="20" t="s">
        <v>387</v>
      </c>
      <c r="E16" s="20" t="s">
        <v>30</v>
      </c>
      <c r="F16" s="20" t="s">
        <v>459</v>
      </c>
      <c r="G16" s="21" t="s">
        <v>479</v>
      </c>
      <c r="H16" s="29" t="s">
        <v>480</v>
      </c>
      <c r="I16" s="20" t="s">
        <v>422</v>
      </c>
      <c r="J16" s="21" t="s">
        <v>481</v>
      </c>
    </row>
    <row r="17" spans="1:10">
      <c r="A17" s="14">
        <v>13</v>
      </c>
      <c r="B17" s="15" t="s">
        <v>482</v>
      </c>
      <c r="C17" s="14" t="s">
        <v>483</v>
      </c>
      <c r="D17" s="14" t="s">
        <v>387</v>
      </c>
      <c r="E17" s="14" t="s">
        <v>30</v>
      </c>
      <c r="F17" s="14" t="s">
        <v>484</v>
      </c>
      <c r="G17" s="15" t="s">
        <v>485</v>
      </c>
      <c r="H17" s="28" t="s">
        <v>486</v>
      </c>
      <c r="I17" s="14" t="s">
        <v>487</v>
      </c>
      <c r="J17" s="15" t="s">
        <v>488</v>
      </c>
    </row>
    <row r="18" spans="1:10">
      <c r="A18" s="20">
        <v>14</v>
      </c>
      <c r="B18" s="21" t="s">
        <v>489</v>
      </c>
      <c r="C18" s="20" t="s">
        <v>483</v>
      </c>
      <c r="D18" s="20" t="s">
        <v>387</v>
      </c>
      <c r="E18" s="20" t="s">
        <v>30</v>
      </c>
      <c r="F18" s="20" t="s">
        <v>434</v>
      </c>
      <c r="G18" s="21" t="s">
        <v>490</v>
      </c>
      <c r="H18" s="29" t="s">
        <v>491</v>
      </c>
      <c r="I18" s="20" t="s">
        <v>487</v>
      </c>
      <c r="J18" s="21" t="s">
        <v>492</v>
      </c>
    </row>
    <row r="19" spans="1:10">
      <c r="A19" s="14">
        <v>15</v>
      </c>
      <c r="B19" s="15" t="s">
        <v>493</v>
      </c>
      <c r="C19" s="14" t="s">
        <v>483</v>
      </c>
      <c r="D19" s="14" t="s">
        <v>387</v>
      </c>
      <c r="E19" s="14" t="s">
        <v>30</v>
      </c>
      <c r="F19" s="14" t="s">
        <v>459</v>
      </c>
      <c r="G19" s="15" t="s">
        <v>494</v>
      </c>
      <c r="H19" s="28" t="s">
        <v>495</v>
      </c>
      <c r="I19" s="14" t="s">
        <v>487</v>
      </c>
      <c r="J19" s="15" t="s">
        <v>496</v>
      </c>
    </row>
    <row r="20" spans="1:10">
      <c r="A20" s="20">
        <v>16</v>
      </c>
      <c r="B20" s="21" t="s">
        <v>497</v>
      </c>
      <c r="C20" s="20" t="s">
        <v>498</v>
      </c>
      <c r="D20" s="20" t="s">
        <v>262</v>
      </c>
      <c r="E20" s="20" t="s">
        <v>30</v>
      </c>
      <c r="F20" s="20" t="s">
        <v>459</v>
      </c>
      <c r="G20" s="21" t="s">
        <v>499</v>
      </c>
      <c r="H20" s="29" t="s">
        <v>500</v>
      </c>
      <c r="I20" s="20" t="s">
        <v>487</v>
      </c>
      <c r="J20" s="21" t="s">
        <v>501</v>
      </c>
    </row>
    <row r="21" spans="1:10">
      <c r="A21" s="14">
        <v>17</v>
      </c>
      <c r="B21" s="15" t="s">
        <v>502</v>
      </c>
      <c r="C21" s="14" t="s">
        <v>471</v>
      </c>
      <c r="D21" s="14" t="s">
        <v>262</v>
      </c>
      <c r="E21" s="14" t="s">
        <v>30</v>
      </c>
      <c r="F21" s="14" t="s">
        <v>459</v>
      </c>
      <c r="G21" s="15" t="s">
        <v>503</v>
      </c>
      <c r="H21" s="28" t="s">
        <v>504</v>
      </c>
      <c r="I21" s="14" t="s">
        <v>422</v>
      </c>
      <c r="J21" s="15" t="s">
        <v>505</v>
      </c>
    </row>
    <row r="22" spans="1:10">
      <c r="A22" s="20">
        <v>18</v>
      </c>
      <c r="B22" s="21" t="s">
        <v>254</v>
      </c>
      <c r="C22" s="20" t="s">
        <v>471</v>
      </c>
      <c r="D22" s="20" t="s">
        <v>262</v>
      </c>
      <c r="E22" s="20" t="s">
        <v>30</v>
      </c>
      <c r="F22" s="20" t="s">
        <v>459</v>
      </c>
      <c r="G22" s="21" t="s">
        <v>506</v>
      </c>
      <c r="H22" s="29" t="s">
        <v>507</v>
      </c>
      <c r="I22" s="20" t="s">
        <v>422</v>
      </c>
      <c r="J22" s="21" t="s">
        <v>508</v>
      </c>
    </row>
    <row r="23" spans="1:10">
      <c r="A23" s="14">
        <v>19</v>
      </c>
      <c r="B23" s="15" t="s">
        <v>509</v>
      </c>
      <c r="C23" s="14" t="s">
        <v>510</v>
      </c>
      <c r="D23" s="14" t="s">
        <v>511</v>
      </c>
      <c r="E23" s="14" t="s">
        <v>512</v>
      </c>
      <c r="F23" s="14" t="s">
        <v>513</v>
      </c>
      <c r="G23" s="15" t="s">
        <v>514</v>
      </c>
      <c r="H23" s="28" t="s">
        <v>515</v>
      </c>
      <c r="I23" s="14" t="s">
        <v>422</v>
      </c>
      <c r="J23" s="15" t="s">
        <v>516</v>
      </c>
    </row>
    <row r="24" spans="1:10">
      <c r="A24" s="20">
        <v>20</v>
      </c>
      <c r="B24" s="21" t="s">
        <v>517</v>
      </c>
      <c r="C24" s="20" t="s">
        <v>510</v>
      </c>
      <c r="D24" s="20" t="s">
        <v>518</v>
      </c>
      <c r="E24" s="20" t="s">
        <v>519</v>
      </c>
      <c r="F24" s="20" t="s">
        <v>520</v>
      </c>
      <c r="G24" s="21" t="s">
        <v>521</v>
      </c>
      <c r="H24" s="29" t="s">
        <v>522</v>
      </c>
      <c r="I24" s="20" t="s">
        <v>422</v>
      </c>
      <c r="J24" s="21" t="s">
        <v>523</v>
      </c>
    </row>
    <row r="25" spans="1:10">
      <c r="A25" s="14">
        <v>21</v>
      </c>
      <c r="B25" s="15" t="s">
        <v>524</v>
      </c>
      <c r="C25" s="14" t="s">
        <v>525</v>
      </c>
      <c r="D25" s="14" t="s">
        <v>526</v>
      </c>
      <c r="E25" s="14" t="s">
        <v>527</v>
      </c>
      <c r="F25" s="14" t="s">
        <v>528</v>
      </c>
      <c r="G25" s="15" t="s">
        <v>529</v>
      </c>
      <c r="H25" s="28" t="s">
        <v>530</v>
      </c>
      <c r="I25" s="14" t="s">
        <v>422</v>
      </c>
      <c r="J25" s="15" t="s">
        <v>531</v>
      </c>
    </row>
    <row r="26" spans="1:10">
      <c r="A26" s="20">
        <v>22</v>
      </c>
      <c r="B26" s="21" t="s">
        <v>532</v>
      </c>
      <c r="C26" s="20" t="s">
        <v>525</v>
      </c>
      <c r="D26" s="20" t="s">
        <v>533</v>
      </c>
      <c r="E26" s="20" t="s">
        <v>534</v>
      </c>
      <c r="F26" s="20" t="s">
        <v>535</v>
      </c>
      <c r="G26" s="21" t="s">
        <v>536</v>
      </c>
      <c r="H26" s="29" t="s">
        <v>537</v>
      </c>
      <c r="I26" s="20" t="s">
        <v>422</v>
      </c>
      <c r="J26" s="21" t="s">
        <v>538</v>
      </c>
    </row>
    <row r="27" spans="1:10">
      <c r="A27" s="14">
        <v>23</v>
      </c>
      <c r="B27" s="15" t="s">
        <v>539</v>
      </c>
      <c r="C27" s="14" t="s">
        <v>525</v>
      </c>
      <c r="D27" s="14" t="s">
        <v>533</v>
      </c>
      <c r="E27" s="14" t="s">
        <v>540</v>
      </c>
      <c r="F27" s="14" t="s">
        <v>434</v>
      </c>
      <c r="G27" s="15" t="s">
        <v>541</v>
      </c>
      <c r="H27" s="28" t="s">
        <v>542</v>
      </c>
      <c r="I27" s="14" t="s">
        <v>422</v>
      </c>
      <c r="J27" s="15" t="s">
        <v>543</v>
      </c>
    </row>
    <row r="28" spans="1:10">
      <c r="A28" s="20">
        <v>24</v>
      </c>
      <c r="B28" s="21" t="s">
        <v>544</v>
      </c>
      <c r="C28" s="20" t="s">
        <v>525</v>
      </c>
      <c r="D28" s="20" t="s">
        <v>545</v>
      </c>
      <c r="E28" s="20" t="s">
        <v>433</v>
      </c>
      <c r="F28" s="20" t="s">
        <v>546</v>
      </c>
      <c r="G28" s="21" t="s">
        <v>547</v>
      </c>
      <c r="H28" s="29" t="s">
        <v>548</v>
      </c>
      <c r="I28" s="20" t="s">
        <v>422</v>
      </c>
      <c r="J28" s="21" t="s">
        <v>549</v>
      </c>
    </row>
    <row r="29" spans="1:10">
      <c r="A29" s="14">
        <v>25</v>
      </c>
      <c r="B29" s="15" t="s">
        <v>550</v>
      </c>
      <c r="C29" s="14" t="s">
        <v>392</v>
      </c>
      <c r="D29" s="14" t="s">
        <v>551</v>
      </c>
      <c r="E29" s="14" t="s">
        <v>30</v>
      </c>
      <c r="F29" s="14" t="s">
        <v>459</v>
      </c>
      <c r="G29" s="15" t="s">
        <v>552</v>
      </c>
      <c r="H29" s="28" t="s">
        <v>553</v>
      </c>
      <c r="I29" s="14" t="s">
        <v>422</v>
      </c>
      <c r="J29" s="15" t="s">
        <v>554</v>
      </c>
    </row>
    <row r="30" spans="1:10">
      <c r="A30" s="20">
        <v>26</v>
      </c>
      <c r="B30" s="21" t="s">
        <v>555</v>
      </c>
      <c r="C30" s="20" t="s">
        <v>392</v>
      </c>
      <c r="D30" s="20" t="s">
        <v>556</v>
      </c>
      <c r="E30" s="20" t="s">
        <v>433</v>
      </c>
      <c r="F30" s="20" t="s">
        <v>419</v>
      </c>
      <c r="G30" s="21" t="s">
        <v>557</v>
      </c>
      <c r="H30" s="29" t="s">
        <v>558</v>
      </c>
      <c r="I30" s="20" t="s">
        <v>422</v>
      </c>
      <c r="J30" s="21" t="s">
        <v>559</v>
      </c>
    </row>
    <row r="31" spans="1:10">
      <c r="A31" s="14">
        <v>27</v>
      </c>
      <c r="B31" s="15" t="s">
        <v>560</v>
      </c>
      <c r="C31" s="14" t="s">
        <v>392</v>
      </c>
      <c r="D31" s="14" t="s">
        <v>561</v>
      </c>
      <c r="E31" s="14" t="s">
        <v>30</v>
      </c>
      <c r="F31" s="14" t="s">
        <v>459</v>
      </c>
      <c r="G31" s="15" t="s">
        <v>562</v>
      </c>
      <c r="H31" s="28" t="s">
        <v>563</v>
      </c>
      <c r="I31" s="14" t="s">
        <v>487</v>
      </c>
      <c r="J31" s="15" t="s">
        <v>564</v>
      </c>
    </row>
    <row r="33" spans="1:10">
      <c r="A33" s="35" t="s">
        <v>84</v>
      </c>
      <c r="B33" s="32"/>
      <c r="C33" s="32"/>
      <c r="D33" s="32"/>
      <c r="E33" s="32"/>
      <c r="F33" s="32"/>
      <c r="G33" s="32"/>
      <c r="H33" s="32"/>
      <c r="I33" s="32"/>
      <c r="J33" s="32"/>
    </row>
  </sheetData>
  <autoFilter ref="A4:J31" xr:uid="{00000000-0009-0000-0000-000002000000}"/>
  <mergeCells count="3">
    <mergeCell ref="A1:J1"/>
    <mergeCell ref="A33:J33"/>
    <mergeCell ref="A2:J2"/>
  </mergeCells>
  <hyperlinks>
    <hyperlink ref="H5" r:id="rId1" xr:uid="{00000000-0004-0000-0200-000000000000}"/>
    <hyperlink ref="H6" r:id="rId2" xr:uid="{00000000-0004-0000-0200-000001000000}"/>
    <hyperlink ref="H7" r:id="rId3" xr:uid="{00000000-0004-0000-0200-000002000000}"/>
    <hyperlink ref="H8" r:id="rId4" xr:uid="{00000000-0004-0000-0200-000003000000}"/>
    <hyperlink ref="H9" r:id="rId5" xr:uid="{00000000-0004-0000-0200-000004000000}"/>
    <hyperlink ref="H10" r:id="rId6" xr:uid="{00000000-0004-0000-0200-000005000000}"/>
    <hyperlink ref="H11" r:id="rId7" xr:uid="{00000000-0004-0000-0200-000006000000}"/>
    <hyperlink ref="H12" r:id="rId8" xr:uid="{00000000-0004-0000-0200-000007000000}"/>
    <hyperlink ref="H13" r:id="rId9" xr:uid="{00000000-0004-0000-0200-000008000000}"/>
    <hyperlink ref="H14" r:id="rId10" xr:uid="{00000000-0004-0000-0200-000009000000}"/>
    <hyperlink ref="H15" r:id="rId11" xr:uid="{00000000-0004-0000-0200-00000A000000}"/>
    <hyperlink ref="H16" r:id="rId12" xr:uid="{00000000-0004-0000-0200-00000B000000}"/>
    <hyperlink ref="H17" r:id="rId13" xr:uid="{00000000-0004-0000-0200-00000C000000}"/>
    <hyperlink ref="H18" r:id="rId14" xr:uid="{00000000-0004-0000-0200-00000D000000}"/>
    <hyperlink ref="H19" r:id="rId15" xr:uid="{00000000-0004-0000-0200-00000E000000}"/>
    <hyperlink ref="H20" r:id="rId16" xr:uid="{00000000-0004-0000-0200-00000F000000}"/>
    <hyperlink ref="H21" r:id="rId17" xr:uid="{00000000-0004-0000-0200-000010000000}"/>
    <hyperlink ref="H22" r:id="rId18" xr:uid="{00000000-0004-0000-0200-000011000000}"/>
    <hyperlink ref="H23" r:id="rId19" xr:uid="{00000000-0004-0000-0200-000012000000}"/>
    <hyperlink ref="H24" r:id="rId20" xr:uid="{00000000-0004-0000-0200-000013000000}"/>
    <hyperlink ref="H25" r:id="rId21" xr:uid="{00000000-0004-0000-0200-000014000000}"/>
    <hyperlink ref="H26" r:id="rId22" xr:uid="{00000000-0004-0000-0200-000015000000}"/>
    <hyperlink ref="H27" r:id="rId23" xr:uid="{00000000-0004-0000-0200-000016000000}"/>
    <hyperlink ref="H28" r:id="rId24" xr:uid="{00000000-0004-0000-0200-000017000000}"/>
    <hyperlink ref="H29" r:id="rId25" xr:uid="{00000000-0004-0000-0200-000018000000}"/>
    <hyperlink ref="H30" r:id="rId26" xr:uid="{00000000-0004-0000-0200-000019000000}"/>
    <hyperlink ref="H31" r:id="rId27" xr:uid="{00000000-0004-0000-0200-00001A000000}"/>
  </hyperlinks>
  <pageMargins left="0.75" right="0.75" top="1" bottom="1" header="0.5" footer="0.5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541c039-171c-4677-a99e-6a275b53e9a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BC933BCD1A33438CF2387F036E0CBD" ma:contentTypeVersion="15" ma:contentTypeDescription="Create a new document." ma:contentTypeScope="" ma:versionID="45e9248924972c120e6909022fca78ea">
  <xsd:schema xmlns:xsd="http://www.w3.org/2001/XMLSchema" xmlns:xs="http://www.w3.org/2001/XMLSchema" xmlns:p="http://schemas.microsoft.com/office/2006/metadata/properties" xmlns:ns1="http://schemas.microsoft.com/sharepoint/v3" xmlns:ns2="c541c039-171c-4677-a99e-6a275b53e9aa" xmlns:ns3="ec00fb24-7c6c-420b-b121-80382dc877ec" targetNamespace="http://schemas.microsoft.com/office/2006/metadata/properties" ma:root="true" ma:fieldsID="735dd2c80a3b6788626235506fdb520f" ns1:_="" ns2:_="" ns3:_="">
    <xsd:import namespace="http://schemas.microsoft.com/sharepoint/v3"/>
    <xsd:import namespace="c541c039-171c-4677-a99e-6a275b53e9aa"/>
    <xsd:import namespace="ec00fb24-7c6c-420b-b121-80382dc87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1c039-171c-4677-a99e-6a275b53e9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0fb24-7c6c-420b-b121-80382dc87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C31BBA-41E7-4E47-9D86-31C16B0D96A6}"/>
</file>

<file path=customXml/itemProps2.xml><?xml version="1.0" encoding="utf-8"?>
<ds:datastoreItem xmlns:ds="http://schemas.openxmlformats.org/officeDocument/2006/customXml" ds:itemID="{271BF991-E7E5-4792-B0F2-80E46670E5FB}"/>
</file>

<file path=customXml/itemProps3.xml><?xml version="1.0" encoding="utf-8"?>
<ds:datastoreItem xmlns:ds="http://schemas.openxmlformats.org/officeDocument/2006/customXml" ds:itemID="{0A2BA8B1-4B99-4D2E-862D-EEF05B88F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Tiwari, Aryan</cp:lastModifiedBy>
  <cp:revision/>
  <dcterms:created xsi:type="dcterms:W3CDTF">2026-10-23T09:32:29Z</dcterms:created>
  <dcterms:modified xsi:type="dcterms:W3CDTF">2026-10-27T12:05:34Z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0x0101006ABC933BCD1A33438CF2387F036E0CBD</vt:lpwstr>
  </property>
  <property fmtid="{D5CDD505-2E9C-101B-9397-08002B2CF9AE}" pid="3" name="MSIP_Label_b60f8386-55a0-404e-9dce-4d5bc8b309d8_Enabled">
    <vt:lpwstr>true</vt:lpwstr>
  </property>
  <property fmtid="{D5CDD505-2E9C-101B-9397-08002B2CF9AE}" pid="4" name="MSIP_Label_b60f8386-55a0-404e-9dce-4d5bc8b309d8_SetDate">
    <vt:lpwstr>2026-10-27T12:05:02Z</vt:lpwstr>
  </property>
  <property fmtid="{D5CDD505-2E9C-101B-9397-08002B2CF9AE}" pid="5" name="MSIP_Label_b60f8386-55a0-404e-9dce-4d5bc8b309d8_Method">
    <vt:lpwstr>Standard</vt:lpwstr>
  </property>
  <property fmtid="{D5CDD505-2E9C-101B-9397-08002B2CF9AE}" pid="6" name="MSIP_Label_b60f8386-55a0-404e-9dce-4d5bc8b309d8_Name">
    <vt:lpwstr>b60f8386-55a0-404e-9dce-4d5bc8b309d8</vt:lpwstr>
  </property>
  <property fmtid="{D5CDD505-2E9C-101B-9397-08002B2CF9AE}" pid="7" name="MSIP_Label_b60f8386-55a0-404e-9dce-4d5bc8b309d8_SiteId">
    <vt:lpwstr>7a9376d4-7c43-480f-82ba-a090647f651d</vt:lpwstr>
  </property>
  <property fmtid="{D5CDD505-2E9C-101B-9397-08002B2CF9AE}" pid="8" name="MSIP_Label_b60f8386-55a0-404e-9dce-4d5bc8b309d8_ActionId">
    <vt:lpwstr>56098c0d-ef6f-45d4-bef6-9aeee0170051</vt:lpwstr>
  </property>
  <property fmtid="{D5CDD505-2E9C-101B-9397-08002B2CF9AE}" pid="9" name="MSIP_Label_b60f8386-55a0-404e-9dce-4d5bc8b309d8_ContentBits">
    <vt:lpwstr>2</vt:lpwstr>
  </property>
  <property fmtid="{D5CDD505-2E9C-101B-9397-08002B2CF9AE}" pid="10" name="MSIP_Label_b60f8386-55a0-404e-9dce-4d5bc8b309d8_Tag">
    <vt:lpwstr>10, 3, 0, 2</vt:lpwstr>
  </property>
  <property fmtid="{D5CDD505-2E9C-101B-9397-08002B2CF9AE}" pid="11" name="MediaServiceImageTags">
    <vt:lpwstr/>
  </property>
</Properties>
</file>